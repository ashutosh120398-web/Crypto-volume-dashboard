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huto\Downloads\"/>
    </mc:Choice>
  </mc:AlternateContent>
  <xr:revisionPtr revIDLastSave="0" documentId="13_ncr:1_{419ADDF6-FA66-4232-82E6-A767039BEB67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Data" sheetId="1" r:id="rId1"/>
    <sheet name="Dashboar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B2" i="1" l="1"/>
  <c r="M201" i="1"/>
  <c r="N201" i="1" s="1"/>
  <c r="K201" i="1"/>
  <c r="I201" i="1"/>
  <c r="L201" i="1" s="1"/>
  <c r="H201" i="1"/>
  <c r="O201" i="1" s="1"/>
  <c r="M200" i="1"/>
  <c r="N200" i="1" s="1"/>
  <c r="K200" i="1"/>
  <c r="I200" i="1"/>
  <c r="L200" i="1" s="1"/>
  <c r="H200" i="1"/>
  <c r="O200" i="1" s="1"/>
  <c r="M199" i="1"/>
  <c r="N199" i="1" s="1"/>
  <c r="K199" i="1"/>
  <c r="I199" i="1"/>
  <c r="L199" i="1" s="1"/>
  <c r="H199" i="1"/>
  <c r="O199" i="1" s="1"/>
  <c r="M198" i="1"/>
  <c r="N198" i="1" s="1"/>
  <c r="K198" i="1"/>
  <c r="I198" i="1"/>
  <c r="L198" i="1" s="1"/>
  <c r="H198" i="1"/>
  <c r="O198" i="1" s="1"/>
  <c r="M197" i="1"/>
  <c r="N197" i="1" s="1"/>
  <c r="K197" i="1"/>
  <c r="I197" i="1"/>
  <c r="H197" i="1"/>
  <c r="O197" i="1" s="1"/>
  <c r="M196" i="1"/>
  <c r="N196" i="1" s="1"/>
  <c r="K196" i="1"/>
  <c r="I196" i="1"/>
  <c r="L196" i="1" s="1"/>
  <c r="H196" i="1"/>
  <c r="O196" i="1" s="1"/>
  <c r="M195" i="1"/>
  <c r="N195" i="1" s="1"/>
  <c r="K195" i="1"/>
  <c r="I195" i="1"/>
  <c r="H195" i="1"/>
  <c r="O195" i="1" s="1"/>
  <c r="M194" i="1"/>
  <c r="N194" i="1" s="1"/>
  <c r="K194" i="1"/>
  <c r="I194" i="1"/>
  <c r="H194" i="1"/>
  <c r="O194" i="1" s="1"/>
  <c r="M193" i="1"/>
  <c r="N193" i="1" s="1"/>
  <c r="K193" i="1"/>
  <c r="I193" i="1"/>
  <c r="H193" i="1"/>
  <c r="O193" i="1" s="1"/>
  <c r="M192" i="1"/>
  <c r="N192" i="1" s="1"/>
  <c r="K192" i="1"/>
  <c r="I192" i="1"/>
  <c r="H192" i="1"/>
  <c r="O192" i="1" s="1"/>
  <c r="M191" i="1"/>
  <c r="N191" i="1" s="1"/>
  <c r="K191" i="1"/>
  <c r="I191" i="1"/>
  <c r="L191" i="1" s="1"/>
  <c r="H191" i="1"/>
  <c r="O191" i="1" s="1"/>
  <c r="M190" i="1"/>
  <c r="N190" i="1" s="1"/>
  <c r="K190" i="1"/>
  <c r="I190" i="1"/>
  <c r="H190" i="1"/>
  <c r="O190" i="1" s="1"/>
  <c r="M189" i="1"/>
  <c r="N189" i="1" s="1"/>
  <c r="K189" i="1"/>
  <c r="I189" i="1"/>
  <c r="L189" i="1" s="1"/>
  <c r="H189" i="1"/>
  <c r="O189" i="1" s="1"/>
  <c r="M188" i="1"/>
  <c r="N188" i="1" s="1"/>
  <c r="K188" i="1"/>
  <c r="I188" i="1"/>
  <c r="H188" i="1"/>
  <c r="O188" i="1" s="1"/>
  <c r="N187" i="1"/>
  <c r="M187" i="1"/>
  <c r="K187" i="1"/>
  <c r="I187" i="1"/>
  <c r="H187" i="1"/>
  <c r="O187" i="1" s="1"/>
  <c r="M186" i="1"/>
  <c r="N186" i="1" s="1"/>
  <c r="K186" i="1"/>
  <c r="I186" i="1"/>
  <c r="H186" i="1"/>
  <c r="O186" i="1" s="1"/>
  <c r="M185" i="1"/>
  <c r="N185" i="1" s="1"/>
  <c r="K185" i="1"/>
  <c r="I185" i="1"/>
  <c r="H185" i="1"/>
  <c r="O185" i="1" s="1"/>
  <c r="M184" i="1"/>
  <c r="N184" i="1" s="1"/>
  <c r="K184" i="1"/>
  <c r="I184" i="1"/>
  <c r="H184" i="1"/>
  <c r="O184" i="1" s="1"/>
  <c r="M183" i="1"/>
  <c r="N183" i="1" s="1"/>
  <c r="K183" i="1"/>
  <c r="I183" i="1"/>
  <c r="H183" i="1"/>
  <c r="O183" i="1" s="1"/>
  <c r="M182" i="1"/>
  <c r="N182" i="1" s="1"/>
  <c r="K182" i="1"/>
  <c r="I182" i="1"/>
  <c r="H182" i="1"/>
  <c r="O182" i="1" s="1"/>
  <c r="M181" i="1"/>
  <c r="N181" i="1" s="1"/>
  <c r="K181" i="1"/>
  <c r="I181" i="1"/>
  <c r="L181" i="1" s="1"/>
  <c r="H181" i="1"/>
  <c r="O181" i="1" s="1"/>
  <c r="M180" i="1"/>
  <c r="N180" i="1" s="1"/>
  <c r="K180" i="1"/>
  <c r="I180" i="1"/>
  <c r="H180" i="1"/>
  <c r="O180" i="1" s="1"/>
  <c r="M179" i="1"/>
  <c r="N179" i="1" s="1"/>
  <c r="K179" i="1"/>
  <c r="I179" i="1"/>
  <c r="H179" i="1"/>
  <c r="O179" i="1" s="1"/>
  <c r="M178" i="1"/>
  <c r="N178" i="1" s="1"/>
  <c r="K178" i="1"/>
  <c r="I178" i="1"/>
  <c r="H178" i="1"/>
  <c r="O178" i="1" s="1"/>
  <c r="M177" i="1"/>
  <c r="N177" i="1" s="1"/>
  <c r="K177" i="1"/>
  <c r="I177" i="1"/>
  <c r="L177" i="1" s="1"/>
  <c r="H177" i="1"/>
  <c r="O177" i="1" s="1"/>
  <c r="M176" i="1"/>
  <c r="N176" i="1" s="1"/>
  <c r="K176" i="1"/>
  <c r="I176" i="1"/>
  <c r="H176" i="1"/>
  <c r="O176" i="1" s="1"/>
  <c r="M175" i="1"/>
  <c r="N175" i="1" s="1"/>
  <c r="K175" i="1"/>
  <c r="I175" i="1"/>
  <c r="L175" i="1" s="1"/>
  <c r="H175" i="1"/>
  <c r="O175" i="1" s="1"/>
  <c r="M174" i="1"/>
  <c r="N174" i="1" s="1"/>
  <c r="K174" i="1"/>
  <c r="I174" i="1"/>
  <c r="H174" i="1"/>
  <c r="O174" i="1" s="1"/>
  <c r="M173" i="1"/>
  <c r="N173" i="1" s="1"/>
  <c r="K173" i="1"/>
  <c r="I173" i="1"/>
  <c r="L173" i="1" s="1"/>
  <c r="H173" i="1"/>
  <c r="O173" i="1" s="1"/>
  <c r="M172" i="1"/>
  <c r="N172" i="1" s="1"/>
  <c r="K172" i="1"/>
  <c r="I172" i="1"/>
  <c r="H172" i="1"/>
  <c r="O172" i="1" s="1"/>
  <c r="M171" i="1"/>
  <c r="N171" i="1" s="1"/>
  <c r="K171" i="1"/>
  <c r="I171" i="1"/>
  <c r="H171" i="1"/>
  <c r="O171" i="1" s="1"/>
  <c r="M170" i="1"/>
  <c r="N170" i="1" s="1"/>
  <c r="K170" i="1"/>
  <c r="I170" i="1"/>
  <c r="H170" i="1"/>
  <c r="O170" i="1" s="1"/>
  <c r="M169" i="1"/>
  <c r="N169" i="1" s="1"/>
  <c r="K169" i="1"/>
  <c r="I169" i="1"/>
  <c r="H169" i="1"/>
  <c r="O169" i="1" s="1"/>
  <c r="M168" i="1"/>
  <c r="N168" i="1" s="1"/>
  <c r="K168" i="1"/>
  <c r="I168" i="1"/>
  <c r="H168" i="1"/>
  <c r="O168" i="1" s="1"/>
  <c r="M167" i="1"/>
  <c r="N167" i="1" s="1"/>
  <c r="K167" i="1"/>
  <c r="I167" i="1"/>
  <c r="H167" i="1"/>
  <c r="O167" i="1" s="1"/>
  <c r="M166" i="1"/>
  <c r="N166" i="1" s="1"/>
  <c r="K166" i="1"/>
  <c r="I166" i="1"/>
  <c r="H166" i="1"/>
  <c r="O166" i="1" s="1"/>
  <c r="M165" i="1"/>
  <c r="N165" i="1" s="1"/>
  <c r="K165" i="1"/>
  <c r="I165" i="1"/>
  <c r="L165" i="1" s="1"/>
  <c r="H165" i="1"/>
  <c r="O165" i="1" s="1"/>
  <c r="M164" i="1"/>
  <c r="N164" i="1" s="1"/>
  <c r="K164" i="1"/>
  <c r="I164" i="1"/>
  <c r="H164" i="1"/>
  <c r="O164" i="1" s="1"/>
  <c r="M163" i="1"/>
  <c r="N163" i="1" s="1"/>
  <c r="K163" i="1"/>
  <c r="I163" i="1"/>
  <c r="L163" i="1" s="1"/>
  <c r="H163" i="1"/>
  <c r="O163" i="1" s="1"/>
  <c r="M162" i="1"/>
  <c r="N162" i="1" s="1"/>
  <c r="K162" i="1"/>
  <c r="I162" i="1"/>
  <c r="H162" i="1"/>
  <c r="O162" i="1" s="1"/>
  <c r="N161" i="1"/>
  <c r="M161" i="1"/>
  <c r="K161" i="1"/>
  <c r="I161" i="1"/>
  <c r="L161" i="1" s="1"/>
  <c r="H161" i="1"/>
  <c r="O161" i="1" s="1"/>
  <c r="M160" i="1"/>
  <c r="N160" i="1" s="1"/>
  <c r="K160" i="1"/>
  <c r="I160" i="1"/>
  <c r="H160" i="1"/>
  <c r="O160" i="1" s="1"/>
  <c r="M159" i="1"/>
  <c r="N159" i="1" s="1"/>
  <c r="K159" i="1"/>
  <c r="I159" i="1"/>
  <c r="H159" i="1"/>
  <c r="O159" i="1" s="1"/>
  <c r="M158" i="1"/>
  <c r="N158" i="1" s="1"/>
  <c r="K158" i="1"/>
  <c r="I158" i="1"/>
  <c r="H158" i="1"/>
  <c r="O158" i="1" s="1"/>
  <c r="M157" i="1"/>
  <c r="N157" i="1" s="1"/>
  <c r="K157" i="1"/>
  <c r="I157" i="1"/>
  <c r="H157" i="1"/>
  <c r="O157" i="1" s="1"/>
  <c r="M156" i="1"/>
  <c r="N156" i="1" s="1"/>
  <c r="K156" i="1"/>
  <c r="I156" i="1"/>
  <c r="H156" i="1"/>
  <c r="O156" i="1" s="1"/>
  <c r="M155" i="1"/>
  <c r="N155" i="1" s="1"/>
  <c r="K155" i="1"/>
  <c r="I155" i="1"/>
  <c r="H155" i="1"/>
  <c r="O155" i="1" s="1"/>
  <c r="M154" i="1"/>
  <c r="N154" i="1" s="1"/>
  <c r="K154" i="1"/>
  <c r="I154" i="1"/>
  <c r="H154" i="1"/>
  <c r="O154" i="1" s="1"/>
  <c r="M153" i="1"/>
  <c r="N153" i="1" s="1"/>
  <c r="K153" i="1"/>
  <c r="I153" i="1"/>
  <c r="H153" i="1"/>
  <c r="O153" i="1" s="1"/>
  <c r="N152" i="1"/>
  <c r="M152" i="1"/>
  <c r="K152" i="1"/>
  <c r="I152" i="1"/>
  <c r="H152" i="1"/>
  <c r="O152" i="1" s="1"/>
  <c r="M151" i="1"/>
  <c r="N151" i="1" s="1"/>
  <c r="K151" i="1"/>
  <c r="I151" i="1"/>
  <c r="L151" i="1" s="1"/>
  <c r="H151" i="1"/>
  <c r="O151" i="1" s="1"/>
  <c r="M150" i="1"/>
  <c r="N150" i="1" s="1"/>
  <c r="K150" i="1"/>
  <c r="I150" i="1"/>
  <c r="L150" i="1" s="1"/>
  <c r="H150" i="1"/>
  <c r="O150" i="1" s="1"/>
  <c r="M149" i="1"/>
  <c r="N149" i="1" s="1"/>
  <c r="K149" i="1"/>
  <c r="I149" i="1"/>
  <c r="H149" i="1"/>
  <c r="O149" i="1" s="1"/>
  <c r="M148" i="1"/>
  <c r="N148" i="1" s="1"/>
  <c r="K148" i="1"/>
  <c r="I148" i="1"/>
  <c r="H148" i="1"/>
  <c r="O148" i="1" s="1"/>
  <c r="M147" i="1"/>
  <c r="N147" i="1" s="1"/>
  <c r="K147" i="1"/>
  <c r="I147" i="1"/>
  <c r="L147" i="1" s="1"/>
  <c r="H147" i="1"/>
  <c r="O147" i="1" s="1"/>
  <c r="M146" i="1"/>
  <c r="N146" i="1" s="1"/>
  <c r="K146" i="1"/>
  <c r="I146" i="1"/>
  <c r="L146" i="1" s="1"/>
  <c r="H146" i="1"/>
  <c r="O146" i="1" s="1"/>
  <c r="M145" i="1"/>
  <c r="N145" i="1" s="1"/>
  <c r="K145" i="1"/>
  <c r="I145" i="1"/>
  <c r="L145" i="1" s="1"/>
  <c r="H145" i="1"/>
  <c r="O145" i="1" s="1"/>
  <c r="M144" i="1"/>
  <c r="N144" i="1" s="1"/>
  <c r="K144" i="1"/>
  <c r="I144" i="1"/>
  <c r="H144" i="1"/>
  <c r="O144" i="1" s="1"/>
  <c r="M143" i="1"/>
  <c r="N143" i="1" s="1"/>
  <c r="K143" i="1"/>
  <c r="I143" i="1"/>
  <c r="L143" i="1" s="1"/>
  <c r="H143" i="1"/>
  <c r="O143" i="1" s="1"/>
  <c r="M142" i="1"/>
  <c r="N142" i="1" s="1"/>
  <c r="K142" i="1"/>
  <c r="I142" i="1"/>
  <c r="H142" i="1"/>
  <c r="O142" i="1" s="1"/>
  <c r="M141" i="1"/>
  <c r="N141" i="1" s="1"/>
  <c r="K141" i="1"/>
  <c r="I141" i="1"/>
  <c r="H141" i="1"/>
  <c r="O141" i="1" s="1"/>
  <c r="M140" i="1"/>
  <c r="N140" i="1" s="1"/>
  <c r="K140" i="1"/>
  <c r="I140" i="1"/>
  <c r="H140" i="1"/>
  <c r="O140" i="1" s="1"/>
  <c r="M139" i="1"/>
  <c r="N139" i="1" s="1"/>
  <c r="K139" i="1"/>
  <c r="I139" i="1"/>
  <c r="H139" i="1"/>
  <c r="O139" i="1" s="1"/>
  <c r="M138" i="1"/>
  <c r="N138" i="1" s="1"/>
  <c r="K138" i="1"/>
  <c r="I138" i="1"/>
  <c r="H138" i="1"/>
  <c r="O138" i="1" s="1"/>
  <c r="M137" i="1"/>
  <c r="N137" i="1" s="1"/>
  <c r="K137" i="1"/>
  <c r="I137" i="1"/>
  <c r="L137" i="1" s="1"/>
  <c r="H137" i="1"/>
  <c r="O137" i="1" s="1"/>
  <c r="M136" i="1"/>
  <c r="N136" i="1" s="1"/>
  <c r="K136" i="1"/>
  <c r="I136" i="1"/>
  <c r="H136" i="1"/>
  <c r="O136" i="1" s="1"/>
  <c r="M135" i="1"/>
  <c r="N135" i="1" s="1"/>
  <c r="K135" i="1"/>
  <c r="I135" i="1"/>
  <c r="H135" i="1"/>
  <c r="O135" i="1" s="1"/>
  <c r="M134" i="1"/>
  <c r="N134" i="1" s="1"/>
  <c r="K134" i="1"/>
  <c r="I134" i="1"/>
  <c r="L134" i="1" s="1"/>
  <c r="H134" i="1"/>
  <c r="O134" i="1" s="1"/>
  <c r="M133" i="1"/>
  <c r="N133" i="1" s="1"/>
  <c r="K133" i="1"/>
  <c r="I133" i="1"/>
  <c r="H133" i="1"/>
  <c r="O133" i="1" s="1"/>
  <c r="M132" i="1"/>
  <c r="N132" i="1" s="1"/>
  <c r="K132" i="1"/>
  <c r="I132" i="1"/>
  <c r="H132" i="1"/>
  <c r="O132" i="1" s="1"/>
  <c r="M131" i="1"/>
  <c r="N131" i="1" s="1"/>
  <c r="K131" i="1"/>
  <c r="I131" i="1"/>
  <c r="H131" i="1"/>
  <c r="O131" i="1" s="1"/>
  <c r="M130" i="1"/>
  <c r="N130" i="1" s="1"/>
  <c r="K130" i="1"/>
  <c r="I130" i="1"/>
  <c r="L130" i="1" s="1"/>
  <c r="H130" i="1"/>
  <c r="O130" i="1" s="1"/>
  <c r="M129" i="1"/>
  <c r="N129" i="1" s="1"/>
  <c r="K129" i="1"/>
  <c r="I129" i="1"/>
  <c r="L129" i="1" s="1"/>
  <c r="H129" i="1"/>
  <c r="O129" i="1" s="1"/>
  <c r="M128" i="1"/>
  <c r="N128" i="1" s="1"/>
  <c r="K128" i="1"/>
  <c r="I128" i="1"/>
  <c r="H128" i="1"/>
  <c r="O128" i="1" s="1"/>
  <c r="M127" i="1"/>
  <c r="N127" i="1" s="1"/>
  <c r="K127" i="1"/>
  <c r="I127" i="1"/>
  <c r="L127" i="1" s="1"/>
  <c r="H127" i="1"/>
  <c r="O127" i="1" s="1"/>
  <c r="M126" i="1"/>
  <c r="N126" i="1" s="1"/>
  <c r="K126" i="1"/>
  <c r="I126" i="1"/>
  <c r="H126" i="1"/>
  <c r="O126" i="1" s="1"/>
  <c r="M125" i="1"/>
  <c r="N125" i="1" s="1"/>
  <c r="K125" i="1"/>
  <c r="I125" i="1"/>
  <c r="L125" i="1" s="1"/>
  <c r="H125" i="1"/>
  <c r="O125" i="1" s="1"/>
  <c r="M124" i="1"/>
  <c r="N124" i="1" s="1"/>
  <c r="K124" i="1"/>
  <c r="I124" i="1"/>
  <c r="H124" i="1"/>
  <c r="O124" i="1" s="1"/>
  <c r="M123" i="1"/>
  <c r="N123" i="1" s="1"/>
  <c r="K123" i="1"/>
  <c r="I123" i="1"/>
  <c r="L123" i="1" s="1"/>
  <c r="H123" i="1"/>
  <c r="O123" i="1" s="1"/>
  <c r="M122" i="1"/>
  <c r="N122" i="1" s="1"/>
  <c r="K122" i="1"/>
  <c r="I122" i="1"/>
  <c r="L122" i="1" s="1"/>
  <c r="H122" i="1"/>
  <c r="O122" i="1" s="1"/>
  <c r="M121" i="1"/>
  <c r="N121" i="1" s="1"/>
  <c r="K121" i="1"/>
  <c r="I121" i="1"/>
  <c r="L121" i="1" s="1"/>
  <c r="H121" i="1"/>
  <c r="O121" i="1" s="1"/>
  <c r="M120" i="1"/>
  <c r="N120" i="1" s="1"/>
  <c r="K120" i="1"/>
  <c r="I120" i="1"/>
  <c r="H120" i="1"/>
  <c r="O120" i="1" s="1"/>
  <c r="M119" i="1"/>
  <c r="N119" i="1" s="1"/>
  <c r="K119" i="1"/>
  <c r="I119" i="1"/>
  <c r="H119" i="1"/>
  <c r="O119" i="1" s="1"/>
  <c r="M118" i="1"/>
  <c r="N118" i="1" s="1"/>
  <c r="K118" i="1"/>
  <c r="I118" i="1"/>
  <c r="H118" i="1"/>
  <c r="O118" i="1" s="1"/>
  <c r="M117" i="1"/>
  <c r="N117" i="1" s="1"/>
  <c r="K117" i="1"/>
  <c r="I117" i="1"/>
  <c r="L117" i="1" s="1"/>
  <c r="H117" i="1"/>
  <c r="O117" i="1" s="1"/>
  <c r="M116" i="1"/>
  <c r="N116" i="1" s="1"/>
  <c r="K116" i="1"/>
  <c r="I116" i="1"/>
  <c r="H116" i="1"/>
  <c r="O115" i="1"/>
  <c r="M115" i="1"/>
  <c r="N115" i="1" s="1"/>
  <c r="K115" i="1"/>
  <c r="I115" i="1"/>
  <c r="L115" i="1" s="1"/>
  <c r="H115" i="1"/>
  <c r="M114" i="1"/>
  <c r="N114" i="1" s="1"/>
  <c r="K114" i="1"/>
  <c r="I114" i="1"/>
  <c r="L114" i="1" s="1"/>
  <c r="H114" i="1"/>
  <c r="O114" i="1" s="1"/>
  <c r="M113" i="1"/>
  <c r="N113" i="1" s="1"/>
  <c r="K113" i="1"/>
  <c r="I113" i="1"/>
  <c r="H113" i="1"/>
  <c r="O113" i="1" s="1"/>
  <c r="M112" i="1"/>
  <c r="N112" i="1" s="1"/>
  <c r="K112" i="1"/>
  <c r="I112" i="1"/>
  <c r="L112" i="1" s="1"/>
  <c r="H112" i="1"/>
  <c r="O112" i="1" s="1"/>
  <c r="M111" i="1"/>
  <c r="N111" i="1" s="1"/>
  <c r="K111" i="1"/>
  <c r="I111" i="1"/>
  <c r="H111" i="1"/>
  <c r="O111" i="1" s="1"/>
  <c r="M110" i="1"/>
  <c r="N110" i="1" s="1"/>
  <c r="K110" i="1"/>
  <c r="I110" i="1"/>
  <c r="H110" i="1"/>
  <c r="O110" i="1" s="1"/>
  <c r="M109" i="1"/>
  <c r="N109" i="1" s="1"/>
  <c r="K109" i="1"/>
  <c r="I109" i="1"/>
  <c r="H109" i="1"/>
  <c r="O109" i="1" s="1"/>
  <c r="M108" i="1"/>
  <c r="N108" i="1" s="1"/>
  <c r="K108" i="1"/>
  <c r="I108" i="1"/>
  <c r="L108" i="1" s="1"/>
  <c r="H108" i="1"/>
  <c r="O108" i="1" s="1"/>
  <c r="M107" i="1"/>
  <c r="N107" i="1" s="1"/>
  <c r="K107" i="1"/>
  <c r="I107" i="1"/>
  <c r="L107" i="1" s="1"/>
  <c r="H107" i="1"/>
  <c r="O107" i="1" s="1"/>
  <c r="M106" i="1"/>
  <c r="N106" i="1" s="1"/>
  <c r="K106" i="1"/>
  <c r="I106" i="1"/>
  <c r="L106" i="1" s="1"/>
  <c r="H106" i="1"/>
  <c r="O106" i="1" s="1"/>
  <c r="M105" i="1"/>
  <c r="N105" i="1" s="1"/>
  <c r="K105" i="1"/>
  <c r="I105" i="1"/>
  <c r="H105" i="1"/>
  <c r="O105" i="1" s="1"/>
  <c r="M104" i="1"/>
  <c r="N104" i="1" s="1"/>
  <c r="K104" i="1"/>
  <c r="I104" i="1"/>
  <c r="L104" i="1" s="1"/>
  <c r="H104" i="1"/>
  <c r="O104" i="1" s="1"/>
  <c r="M103" i="1"/>
  <c r="N103" i="1" s="1"/>
  <c r="K103" i="1"/>
  <c r="I103" i="1"/>
  <c r="H103" i="1"/>
  <c r="O103" i="1" s="1"/>
  <c r="M102" i="1"/>
  <c r="N102" i="1" s="1"/>
  <c r="K102" i="1"/>
  <c r="I102" i="1"/>
  <c r="H102" i="1"/>
  <c r="O102" i="1" s="1"/>
  <c r="M101" i="1"/>
  <c r="N101" i="1" s="1"/>
  <c r="K101" i="1"/>
  <c r="I101" i="1"/>
  <c r="L101" i="1" s="1"/>
  <c r="H101" i="1"/>
  <c r="O101" i="1" s="1"/>
  <c r="M100" i="1"/>
  <c r="N100" i="1" s="1"/>
  <c r="K100" i="1"/>
  <c r="I100" i="1"/>
  <c r="H100" i="1"/>
  <c r="M99" i="1"/>
  <c r="N99" i="1" s="1"/>
  <c r="K99" i="1"/>
  <c r="I99" i="1"/>
  <c r="H99" i="1"/>
  <c r="O99" i="1" s="1"/>
  <c r="M98" i="1"/>
  <c r="N98" i="1" s="1"/>
  <c r="K98" i="1"/>
  <c r="I98" i="1"/>
  <c r="H98" i="1"/>
  <c r="O98" i="1" s="1"/>
  <c r="M97" i="1"/>
  <c r="N97" i="1" s="1"/>
  <c r="K97" i="1"/>
  <c r="J97" i="1"/>
  <c r="I97" i="1"/>
  <c r="L97" i="1" s="1"/>
  <c r="H97" i="1"/>
  <c r="O97" i="1" s="1"/>
  <c r="M96" i="1"/>
  <c r="N96" i="1" s="1"/>
  <c r="K96" i="1"/>
  <c r="I96" i="1"/>
  <c r="H96" i="1"/>
  <c r="O96" i="1" s="1"/>
  <c r="M95" i="1"/>
  <c r="N95" i="1" s="1"/>
  <c r="K95" i="1"/>
  <c r="I95" i="1"/>
  <c r="H95" i="1"/>
  <c r="O95" i="1" s="1"/>
  <c r="M94" i="1"/>
  <c r="N94" i="1" s="1"/>
  <c r="K94" i="1"/>
  <c r="I94" i="1"/>
  <c r="H94" i="1"/>
  <c r="O94" i="1" s="1"/>
  <c r="M93" i="1"/>
  <c r="N93" i="1" s="1"/>
  <c r="K93" i="1"/>
  <c r="I93" i="1"/>
  <c r="L93" i="1" s="1"/>
  <c r="H93" i="1"/>
  <c r="O93" i="1" s="1"/>
  <c r="M92" i="1"/>
  <c r="N92" i="1" s="1"/>
  <c r="K92" i="1"/>
  <c r="I92" i="1"/>
  <c r="L92" i="1" s="1"/>
  <c r="H92" i="1"/>
  <c r="O92" i="1" s="1"/>
  <c r="M91" i="1"/>
  <c r="N91" i="1" s="1"/>
  <c r="K91" i="1"/>
  <c r="I91" i="1"/>
  <c r="H91" i="1"/>
  <c r="O91" i="1" s="1"/>
  <c r="M90" i="1"/>
  <c r="N90" i="1" s="1"/>
  <c r="K90" i="1"/>
  <c r="I90" i="1"/>
  <c r="H90" i="1"/>
  <c r="O90" i="1" s="1"/>
  <c r="M89" i="1"/>
  <c r="N89" i="1" s="1"/>
  <c r="K89" i="1"/>
  <c r="I89" i="1"/>
  <c r="L89" i="1" s="1"/>
  <c r="H89" i="1"/>
  <c r="O89" i="1" s="1"/>
  <c r="M88" i="1"/>
  <c r="N88" i="1" s="1"/>
  <c r="K88" i="1"/>
  <c r="I88" i="1"/>
  <c r="L88" i="1" s="1"/>
  <c r="H88" i="1"/>
  <c r="O88" i="1" s="1"/>
  <c r="M87" i="1"/>
  <c r="N87" i="1" s="1"/>
  <c r="K87" i="1"/>
  <c r="I87" i="1"/>
  <c r="H87" i="1"/>
  <c r="O87" i="1" s="1"/>
  <c r="M86" i="1"/>
  <c r="N86" i="1" s="1"/>
  <c r="K86" i="1"/>
  <c r="I86" i="1"/>
  <c r="H86" i="1"/>
  <c r="O86" i="1" s="1"/>
  <c r="N85" i="1"/>
  <c r="M85" i="1"/>
  <c r="K85" i="1"/>
  <c r="I85" i="1"/>
  <c r="H85" i="1"/>
  <c r="O85" i="1" s="1"/>
  <c r="M84" i="1"/>
  <c r="N84" i="1" s="1"/>
  <c r="K84" i="1"/>
  <c r="I84" i="1"/>
  <c r="L84" i="1" s="1"/>
  <c r="H84" i="1"/>
  <c r="O84" i="1" s="1"/>
  <c r="M83" i="1"/>
  <c r="N83" i="1" s="1"/>
  <c r="K83" i="1"/>
  <c r="I83" i="1"/>
  <c r="L83" i="1" s="1"/>
  <c r="H83" i="1"/>
  <c r="O83" i="1" s="1"/>
  <c r="M82" i="1"/>
  <c r="N82" i="1" s="1"/>
  <c r="K82" i="1"/>
  <c r="I82" i="1"/>
  <c r="L82" i="1" s="1"/>
  <c r="H82" i="1"/>
  <c r="O82" i="1" s="1"/>
  <c r="M81" i="1"/>
  <c r="N81" i="1" s="1"/>
  <c r="K81" i="1"/>
  <c r="I81" i="1"/>
  <c r="L81" i="1" s="1"/>
  <c r="H81" i="1"/>
  <c r="O81" i="1" s="1"/>
  <c r="O80" i="1"/>
  <c r="M80" i="1"/>
  <c r="N80" i="1" s="1"/>
  <c r="K80" i="1"/>
  <c r="I80" i="1"/>
  <c r="H80" i="1"/>
  <c r="M79" i="1"/>
  <c r="N79" i="1" s="1"/>
  <c r="K79" i="1"/>
  <c r="I79" i="1"/>
  <c r="H79" i="1"/>
  <c r="O79" i="1" s="1"/>
  <c r="M78" i="1"/>
  <c r="N78" i="1" s="1"/>
  <c r="K78" i="1"/>
  <c r="I78" i="1"/>
  <c r="H78" i="1"/>
  <c r="O78" i="1" s="1"/>
  <c r="N77" i="1"/>
  <c r="M77" i="1"/>
  <c r="K77" i="1"/>
  <c r="I77" i="1"/>
  <c r="H77" i="1"/>
  <c r="O77" i="1" s="1"/>
  <c r="M76" i="1"/>
  <c r="N76" i="1" s="1"/>
  <c r="K76" i="1"/>
  <c r="I76" i="1"/>
  <c r="L76" i="1" s="1"/>
  <c r="H76" i="1"/>
  <c r="O76" i="1" s="1"/>
  <c r="M75" i="1"/>
  <c r="N75" i="1" s="1"/>
  <c r="K75" i="1"/>
  <c r="I75" i="1"/>
  <c r="L75" i="1" s="1"/>
  <c r="H75" i="1"/>
  <c r="O75" i="1" s="1"/>
  <c r="M74" i="1"/>
  <c r="N74" i="1" s="1"/>
  <c r="K74" i="1"/>
  <c r="I74" i="1"/>
  <c r="L74" i="1" s="1"/>
  <c r="H74" i="1"/>
  <c r="O74" i="1" s="1"/>
  <c r="N73" i="1"/>
  <c r="M73" i="1"/>
  <c r="K73" i="1"/>
  <c r="I73" i="1"/>
  <c r="L73" i="1" s="1"/>
  <c r="H73" i="1"/>
  <c r="O73" i="1" s="1"/>
  <c r="M72" i="1"/>
  <c r="N72" i="1" s="1"/>
  <c r="K72" i="1"/>
  <c r="I72" i="1"/>
  <c r="L72" i="1" s="1"/>
  <c r="H72" i="1"/>
  <c r="O72" i="1" s="1"/>
  <c r="M71" i="1"/>
  <c r="N71" i="1" s="1"/>
  <c r="K71" i="1"/>
  <c r="I71" i="1"/>
  <c r="L71" i="1" s="1"/>
  <c r="H71" i="1"/>
  <c r="O71" i="1" s="1"/>
  <c r="M70" i="1"/>
  <c r="N70" i="1" s="1"/>
  <c r="K70" i="1"/>
  <c r="I70" i="1"/>
  <c r="L70" i="1" s="1"/>
  <c r="H70" i="1"/>
  <c r="O70" i="1" s="1"/>
  <c r="M69" i="1"/>
  <c r="N69" i="1" s="1"/>
  <c r="K69" i="1"/>
  <c r="I69" i="1"/>
  <c r="H69" i="1"/>
  <c r="O69" i="1" s="1"/>
  <c r="N68" i="1"/>
  <c r="M68" i="1"/>
  <c r="K68" i="1"/>
  <c r="I68" i="1"/>
  <c r="H68" i="1"/>
  <c r="M67" i="1"/>
  <c r="N67" i="1" s="1"/>
  <c r="K67" i="1"/>
  <c r="I67" i="1"/>
  <c r="H67" i="1"/>
  <c r="O67" i="1" s="1"/>
  <c r="M66" i="1"/>
  <c r="N66" i="1" s="1"/>
  <c r="K66" i="1"/>
  <c r="I66" i="1"/>
  <c r="L66" i="1" s="1"/>
  <c r="H66" i="1"/>
  <c r="O66" i="1" s="1"/>
  <c r="M65" i="1"/>
  <c r="N65" i="1" s="1"/>
  <c r="K65" i="1"/>
  <c r="I65" i="1"/>
  <c r="H65" i="1"/>
  <c r="O65" i="1" s="1"/>
  <c r="M64" i="1"/>
  <c r="N64" i="1" s="1"/>
  <c r="K64" i="1"/>
  <c r="I64" i="1"/>
  <c r="H64" i="1"/>
  <c r="O64" i="1" s="1"/>
  <c r="M63" i="1"/>
  <c r="N63" i="1" s="1"/>
  <c r="K63" i="1"/>
  <c r="I63" i="1"/>
  <c r="L63" i="1" s="1"/>
  <c r="H63" i="1"/>
  <c r="O63" i="1" s="1"/>
  <c r="M62" i="1"/>
  <c r="N62" i="1" s="1"/>
  <c r="K62" i="1"/>
  <c r="I62" i="1"/>
  <c r="L62" i="1" s="1"/>
  <c r="H62" i="1"/>
  <c r="O62" i="1" s="1"/>
  <c r="M61" i="1"/>
  <c r="N61" i="1" s="1"/>
  <c r="K61" i="1"/>
  <c r="I61" i="1"/>
  <c r="H61" i="1"/>
  <c r="O61" i="1" s="1"/>
  <c r="M60" i="1"/>
  <c r="N60" i="1" s="1"/>
  <c r="K60" i="1"/>
  <c r="I60" i="1"/>
  <c r="L60" i="1" s="1"/>
  <c r="H60" i="1"/>
  <c r="O60" i="1" s="1"/>
  <c r="M59" i="1"/>
  <c r="N59" i="1" s="1"/>
  <c r="K59" i="1"/>
  <c r="I59" i="1"/>
  <c r="L59" i="1" s="1"/>
  <c r="H59" i="1"/>
  <c r="O59" i="1" s="1"/>
  <c r="M58" i="1"/>
  <c r="N58" i="1" s="1"/>
  <c r="K58" i="1"/>
  <c r="I58" i="1"/>
  <c r="H58" i="1"/>
  <c r="O58" i="1" s="1"/>
  <c r="M57" i="1"/>
  <c r="N57" i="1" s="1"/>
  <c r="K57" i="1"/>
  <c r="I57" i="1"/>
  <c r="H57" i="1"/>
  <c r="O57" i="1" s="1"/>
  <c r="M56" i="1"/>
  <c r="N56" i="1" s="1"/>
  <c r="K56" i="1"/>
  <c r="I56" i="1"/>
  <c r="L56" i="1" s="1"/>
  <c r="H56" i="1"/>
  <c r="O56" i="1" s="1"/>
  <c r="M55" i="1"/>
  <c r="N55" i="1" s="1"/>
  <c r="K55" i="1"/>
  <c r="I55" i="1"/>
  <c r="L55" i="1" s="1"/>
  <c r="H55" i="1"/>
  <c r="O55" i="1" s="1"/>
  <c r="M54" i="1"/>
  <c r="N54" i="1" s="1"/>
  <c r="K54" i="1"/>
  <c r="I54" i="1"/>
  <c r="H54" i="1"/>
  <c r="O54" i="1" s="1"/>
  <c r="O53" i="1"/>
  <c r="M53" i="1"/>
  <c r="N53" i="1" s="1"/>
  <c r="K53" i="1"/>
  <c r="I53" i="1"/>
  <c r="H53" i="1"/>
  <c r="M52" i="1"/>
  <c r="N52" i="1" s="1"/>
  <c r="K52" i="1"/>
  <c r="I52" i="1"/>
  <c r="L52" i="1" s="1"/>
  <c r="H52" i="1"/>
  <c r="O52" i="1" s="1"/>
  <c r="M51" i="1"/>
  <c r="N51" i="1" s="1"/>
  <c r="K51" i="1"/>
  <c r="I51" i="1"/>
  <c r="L51" i="1" s="1"/>
  <c r="H51" i="1"/>
  <c r="O51" i="1" s="1"/>
  <c r="M50" i="1"/>
  <c r="N50" i="1" s="1"/>
  <c r="K50" i="1"/>
  <c r="I50" i="1"/>
  <c r="L50" i="1" s="1"/>
  <c r="H50" i="1"/>
  <c r="O50" i="1" s="1"/>
  <c r="M49" i="1"/>
  <c r="N49" i="1" s="1"/>
  <c r="K49" i="1"/>
  <c r="I49" i="1"/>
  <c r="H49" i="1"/>
  <c r="M48" i="1"/>
  <c r="N48" i="1" s="1"/>
  <c r="K48" i="1"/>
  <c r="I48" i="1"/>
  <c r="H48" i="1"/>
  <c r="M47" i="1"/>
  <c r="N47" i="1" s="1"/>
  <c r="K47" i="1"/>
  <c r="I47" i="1"/>
  <c r="H47" i="1"/>
  <c r="M46" i="1"/>
  <c r="N46" i="1" s="1"/>
  <c r="K46" i="1"/>
  <c r="I46" i="1"/>
  <c r="H46" i="1"/>
  <c r="M45" i="1"/>
  <c r="N45" i="1" s="1"/>
  <c r="L45" i="1"/>
  <c r="K45" i="1"/>
  <c r="I45" i="1"/>
  <c r="J45" i="1" s="1"/>
  <c r="H45" i="1"/>
  <c r="O45" i="1" s="1"/>
  <c r="M44" i="1"/>
  <c r="N44" i="1" s="1"/>
  <c r="K44" i="1"/>
  <c r="I44" i="1"/>
  <c r="J44" i="1" s="1"/>
  <c r="H44" i="1"/>
  <c r="O44" i="1" s="1"/>
  <c r="M43" i="1"/>
  <c r="N43" i="1" s="1"/>
  <c r="K43" i="1"/>
  <c r="I43" i="1"/>
  <c r="H43" i="1"/>
  <c r="M42" i="1"/>
  <c r="N42" i="1" s="1"/>
  <c r="K42" i="1"/>
  <c r="I42" i="1"/>
  <c r="H42" i="1"/>
  <c r="M41" i="1"/>
  <c r="N41" i="1" s="1"/>
  <c r="K41" i="1"/>
  <c r="I41" i="1"/>
  <c r="J41" i="1" s="1"/>
  <c r="H41" i="1"/>
  <c r="O41" i="1" s="1"/>
  <c r="M40" i="1"/>
  <c r="N40" i="1" s="1"/>
  <c r="K40" i="1"/>
  <c r="I40" i="1"/>
  <c r="J40" i="1" s="1"/>
  <c r="H40" i="1"/>
  <c r="O40" i="1" s="1"/>
  <c r="M39" i="1"/>
  <c r="N39" i="1" s="1"/>
  <c r="K39" i="1"/>
  <c r="I39" i="1"/>
  <c r="H39" i="1"/>
  <c r="M38" i="1"/>
  <c r="N38" i="1" s="1"/>
  <c r="K38" i="1"/>
  <c r="I38" i="1"/>
  <c r="L38" i="1" s="1"/>
  <c r="H38" i="1"/>
  <c r="O38" i="1" s="1"/>
  <c r="M37" i="1"/>
  <c r="N37" i="1" s="1"/>
  <c r="L37" i="1"/>
  <c r="K37" i="1"/>
  <c r="I37" i="1"/>
  <c r="J37" i="1" s="1"/>
  <c r="H37" i="1"/>
  <c r="O37" i="1" s="1"/>
  <c r="M36" i="1"/>
  <c r="N36" i="1" s="1"/>
  <c r="K36" i="1"/>
  <c r="I36" i="1"/>
  <c r="L36" i="1" s="1"/>
  <c r="H36" i="1"/>
  <c r="O36" i="1" s="1"/>
  <c r="M35" i="1"/>
  <c r="N35" i="1" s="1"/>
  <c r="K35" i="1"/>
  <c r="I35" i="1"/>
  <c r="H35" i="1"/>
  <c r="M34" i="1"/>
  <c r="N34" i="1" s="1"/>
  <c r="K34" i="1"/>
  <c r="I34" i="1"/>
  <c r="L34" i="1" s="1"/>
  <c r="H34" i="1"/>
  <c r="O34" i="1" s="1"/>
  <c r="M33" i="1"/>
  <c r="N33" i="1" s="1"/>
  <c r="K33" i="1"/>
  <c r="I33" i="1"/>
  <c r="L33" i="1" s="1"/>
  <c r="H33" i="1"/>
  <c r="O33" i="1" s="1"/>
  <c r="M32" i="1"/>
  <c r="N32" i="1" s="1"/>
  <c r="K32" i="1"/>
  <c r="I32" i="1"/>
  <c r="H32" i="1"/>
  <c r="M31" i="1"/>
  <c r="N31" i="1" s="1"/>
  <c r="K31" i="1"/>
  <c r="I31" i="1"/>
  <c r="J31" i="1" s="1"/>
  <c r="H31" i="1"/>
  <c r="O31" i="1" s="1"/>
  <c r="M30" i="1"/>
  <c r="N30" i="1" s="1"/>
  <c r="K30" i="1"/>
  <c r="I30" i="1"/>
  <c r="J30" i="1" s="1"/>
  <c r="H30" i="1"/>
  <c r="O30" i="1" s="1"/>
  <c r="M29" i="1"/>
  <c r="N29" i="1" s="1"/>
  <c r="K29" i="1"/>
  <c r="I29" i="1"/>
  <c r="L29" i="1" s="1"/>
  <c r="H29" i="1"/>
  <c r="O29" i="1" s="1"/>
  <c r="M28" i="1"/>
  <c r="N28" i="1" s="1"/>
  <c r="K28" i="1"/>
  <c r="I28" i="1"/>
  <c r="L28" i="1" s="1"/>
  <c r="H28" i="1"/>
  <c r="O28" i="1" s="1"/>
  <c r="N27" i="1"/>
  <c r="M27" i="1"/>
  <c r="K27" i="1"/>
  <c r="I27" i="1"/>
  <c r="H27" i="1"/>
  <c r="M26" i="1"/>
  <c r="N26" i="1" s="1"/>
  <c r="K26" i="1"/>
  <c r="I26" i="1"/>
  <c r="H26" i="1"/>
  <c r="M25" i="1"/>
  <c r="N25" i="1" s="1"/>
  <c r="L25" i="1"/>
  <c r="K25" i="1"/>
  <c r="I25" i="1"/>
  <c r="J25" i="1" s="1"/>
  <c r="H25" i="1"/>
  <c r="O25" i="1" s="1"/>
  <c r="M24" i="1"/>
  <c r="N24" i="1" s="1"/>
  <c r="K24" i="1"/>
  <c r="I24" i="1"/>
  <c r="L24" i="1" s="1"/>
  <c r="H24" i="1"/>
  <c r="O24" i="1" s="1"/>
  <c r="M23" i="1"/>
  <c r="N23" i="1" s="1"/>
  <c r="L23" i="1"/>
  <c r="K23" i="1"/>
  <c r="J23" i="1"/>
  <c r="I23" i="1"/>
  <c r="H23" i="1"/>
  <c r="O23" i="1" s="1"/>
  <c r="M22" i="1"/>
  <c r="N22" i="1" s="1"/>
  <c r="K22" i="1"/>
  <c r="I22" i="1"/>
  <c r="L22" i="1" s="1"/>
  <c r="H22" i="1"/>
  <c r="O22" i="1" s="1"/>
  <c r="M21" i="1"/>
  <c r="N21" i="1" s="1"/>
  <c r="K21" i="1"/>
  <c r="I21" i="1"/>
  <c r="L21" i="1" s="1"/>
  <c r="H21" i="1"/>
  <c r="O21" i="1" s="1"/>
  <c r="M20" i="1"/>
  <c r="N20" i="1" s="1"/>
  <c r="K20" i="1"/>
  <c r="I20" i="1"/>
  <c r="H20" i="1"/>
  <c r="M19" i="1"/>
  <c r="N19" i="1" s="1"/>
  <c r="L19" i="1"/>
  <c r="K19" i="1"/>
  <c r="I19" i="1"/>
  <c r="J19" i="1" s="1"/>
  <c r="H19" i="1"/>
  <c r="O19" i="1" s="1"/>
  <c r="M18" i="1"/>
  <c r="N18" i="1" s="1"/>
  <c r="K18" i="1"/>
  <c r="I18" i="1"/>
  <c r="L18" i="1" s="1"/>
  <c r="H18" i="1"/>
  <c r="O18" i="1" s="1"/>
  <c r="N17" i="1"/>
  <c r="M17" i="1"/>
  <c r="K17" i="1"/>
  <c r="I17" i="1"/>
  <c r="L17" i="1" s="1"/>
  <c r="H17" i="1"/>
  <c r="O17" i="1" s="1"/>
  <c r="M16" i="1"/>
  <c r="N16" i="1" s="1"/>
  <c r="K16" i="1"/>
  <c r="I16" i="1"/>
  <c r="L16" i="1" s="1"/>
  <c r="H16" i="1"/>
  <c r="O16" i="1" s="1"/>
  <c r="M15" i="1"/>
  <c r="N15" i="1" s="1"/>
  <c r="K15" i="1"/>
  <c r="I15" i="1"/>
  <c r="H15" i="1"/>
  <c r="M14" i="1"/>
  <c r="N14" i="1" s="1"/>
  <c r="K14" i="1"/>
  <c r="I14" i="1"/>
  <c r="J14" i="1" s="1"/>
  <c r="H14" i="1"/>
  <c r="O14" i="1" s="1"/>
  <c r="M13" i="1"/>
  <c r="N13" i="1" s="1"/>
  <c r="L13" i="1"/>
  <c r="K13" i="1"/>
  <c r="J13" i="1"/>
  <c r="I13" i="1"/>
  <c r="H13" i="1"/>
  <c r="O13" i="1" s="1"/>
  <c r="M12" i="1"/>
  <c r="N12" i="1" s="1"/>
  <c r="K12" i="1"/>
  <c r="I12" i="1"/>
  <c r="L12" i="1" s="1"/>
  <c r="H12" i="1"/>
  <c r="O12" i="1" s="1"/>
  <c r="M11" i="1"/>
  <c r="N11" i="1" s="1"/>
  <c r="K11" i="1"/>
  <c r="I11" i="1"/>
  <c r="H11" i="1"/>
  <c r="O11" i="1" s="1"/>
  <c r="M10" i="1"/>
  <c r="N10" i="1" s="1"/>
  <c r="K10" i="1"/>
  <c r="I10" i="1"/>
  <c r="H10" i="1"/>
  <c r="O10" i="1" s="1"/>
  <c r="M9" i="1"/>
  <c r="N9" i="1" s="1"/>
  <c r="L9" i="1"/>
  <c r="K9" i="1"/>
  <c r="I9" i="1"/>
  <c r="J9" i="1" s="1"/>
  <c r="H9" i="1"/>
  <c r="O9" i="1" s="1"/>
  <c r="M8" i="1"/>
  <c r="N8" i="1" s="1"/>
  <c r="K8" i="1"/>
  <c r="I8" i="1"/>
  <c r="H8" i="1"/>
  <c r="O8" i="1" s="1"/>
  <c r="M7" i="1"/>
  <c r="N7" i="1" s="1"/>
  <c r="K7" i="1"/>
  <c r="I7" i="1"/>
  <c r="J7" i="1" s="1"/>
  <c r="H7" i="1"/>
  <c r="O7" i="1" s="1"/>
  <c r="M6" i="1"/>
  <c r="N6" i="1" s="1"/>
  <c r="K6" i="1"/>
  <c r="I6" i="1"/>
  <c r="H6" i="1"/>
  <c r="O6" i="1" s="1"/>
  <c r="M5" i="1"/>
  <c r="N5" i="1" s="1"/>
  <c r="K5" i="1"/>
  <c r="I5" i="1"/>
  <c r="L5" i="1" s="1"/>
  <c r="H5" i="1"/>
  <c r="O5" i="1" s="1"/>
  <c r="O4" i="1"/>
  <c r="M4" i="1"/>
  <c r="N4" i="1" s="1"/>
  <c r="K4" i="1"/>
  <c r="I4" i="1"/>
  <c r="J4" i="1" s="1"/>
  <c r="H4" i="1"/>
  <c r="O3" i="1"/>
  <c r="M3" i="1"/>
  <c r="N3" i="1" s="1"/>
  <c r="K3" i="1"/>
  <c r="I3" i="1"/>
  <c r="H3" i="1"/>
  <c r="M2" i="1"/>
  <c r="N2" i="1" s="1"/>
  <c r="K2" i="1"/>
  <c r="I2" i="1"/>
  <c r="H2" i="1"/>
  <c r="J84" i="1" l="1"/>
  <c r="L31" i="1"/>
  <c r="J92" i="1"/>
  <c r="J151" i="1"/>
  <c r="J21" i="1"/>
  <c r="J33" i="1"/>
  <c r="J51" i="1"/>
  <c r="J108" i="1"/>
  <c r="J130" i="1"/>
  <c r="J106" i="1"/>
  <c r="J5" i="1"/>
  <c r="J17" i="1"/>
  <c r="J29" i="1"/>
  <c r="L41" i="1"/>
  <c r="J56" i="1"/>
  <c r="J66" i="1"/>
  <c r="J74" i="1"/>
  <c r="J137" i="1"/>
  <c r="J76" i="1"/>
  <c r="J81" i="1"/>
  <c r="J129" i="1"/>
  <c r="J88" i="1"/>
  <c r="J121" i="1"/>
  <c r="J89" i="1"/>
  <c r="J104" i="1"/>
  <c r="J122" i="1"/>
  <c r="J147" i="1"/>
  <c r="J12" i="1"/>
  <c r="L14" i="1"/>
  <c r="J18" i="1"/>
  <c r="J24" i="1"/>
  <c r="J28" i="1"/>
  <c r="L30" i="1"/>
  <c r="J34" i="1"/>
  <c r="L40" i="1"/>
  <c r="L44" i="1"/>
  <c r="J50" i="1"/>
  <c r="J114" i="1"/>
  <c r="J123" i="1"/>
  <c r="J165" i="1"/>
  <c r="J173" i="1"/>
  <c r="J181" i="1"/>
  <c r="J189" i="1"/>
  <c r="J198" i="1"/>
  <c r="J10" i="1"/>
  <c r="J16" i="1"/>
  <c r="J22" i="1"/>
  <c r="J38" i="1"/>
  <c r="J60" i="1"/>
  <c r="J70" i="1"/>
  <c r="J73" i="1"/>
  <c r="J146" i="1"/>
  <c r="L3" i="1"/>
  <c r="J3" i="1"/>
  <c r="L4" i="1"/>
  <c r="L2" i="1"/>
  <c r="J36" i="1"/>
  <c r="J72" i="1"/>
  <c r="J112" i="1"/>
  <c r="J145" i="1"/>
  <c r="J161" i="1"/>
  <c r="J177" i="1"/>
  <c r="J78" i="1"/>
  <c r="J6" i="1"/>
  <c r="J52" i="1"/>
  <c r="J62" i="1"/>
  <c r="J82" i="1"/>
  <c r="O2" i="1"/>
  <c r="J27" i="1"/>
  <c r="O27" i="1"/>
  <c r="J49" i="1"/>
  <c r="O49" i="1"/>
  <c r="L10" i="1"/>
  <c r="L11" i="1"/>
  <c r="J32" i="1"/>
  <c r="O32" i="1"/>
  <c r="J42" i="1"/>
  <c r="O42" i="1"/>
  <c r="J46" i="1"/>
  <c r="O46" i="1"/>
  <c r="J54" i="1"/>
  <c r="J11" i="1"/>
  <c r="J15" i="1"/>
  <c r="O15" i="1"/>
  <c r="J100" i="1"/>
  <c r="J20" i="1"/>
  <c r="O20" i="1"/>
  <c r="J26" i="1"/>
  <c r="O26" i="1"/>
  <c r="J48" i="1"/>
  <c r="O48" i="1"/>
  <c r="L69" i="1"/>
  <c r="J69" i="1"/>
  <c r="J116" i="1"/>
  <c r="L6" i="1"/>
  <c r="L53" i="1"/>
  <c r="J53" i="1"/>
  <c r="L77" i="1"/>
  <c r="J77" i="1"/>
  <c r="J193" i="1"/>
  <c r="J197" i="1"/>
  <c r="J183" i="1"/>
  <c r="J167" i="1"/>
  <c r="J133" i="1"/>
  <c r="J126" i="1"/>
  <c r="J119" i="1"/>
  <c r="J113" i="1"/>
  <c r="J105" i="1"/>
  <c r="J65" i="1"/>
  <c r="J57" i="1"/>
  <c r="L49" i="1"/>
  <c r="L48" i="1"/>
  <c r="L47" i="1"/>
  <c r="L46" i="1"/>
  <c r="L43" i="1"/>
  <c r="L42" i="1"/>
  <c r="L39" i="1"/>
  <c r="L35" i="1"/>
  <c r="L32" i="1"/>
  <c r="L27" i="1"/>
  <c r="L26" i="1"/>
  <c r="L20" i="1"/>
  <c r="L15" i="1"/>
  <c r="J131" i="1"/>
  <c r="J185" i="1"/>
  <c r="J169" i="1"/>
  <c r="J153" i="1"/>
  <c r="J139" i="1"/>
  <c r="J110" i="1"/>
  <c r="J102" i="1"/>
  <c r="J94" i="1"/>
  <c r="J86" i="1"/>
  <c r="J157" i="1"/>
  <c r="J96" i="1"/>
  <c r="J80" i="1"/>
  <c r="J64" i="1"/>
  <c r="J90" i="1"/>
  <c r="J2" i="1"/>
  <c r="J35" i="1"/>
  <c r="O35" i="1"/>
  <c r="J8" i="1"/>
  <c r="J58" i="1"/>
  <c r="J68" i="1"/>
  <c r="O68" i="1"/>
  <c r="L7" i="1"/>
  <c r="J39" i="1"/>
  <c r="O39" i="1"/>
  <c r="J43" i="1"/>
  <c r="O43" i="1"/>
  <c r="J47" i="1"/>
  <c r="O47" i="1"/>
  <c r="L8" i="1"/>
  <c r="L61" i="1"/>
  <c r="J61" i="1"/>
  <c r="J98" i="1"/>
  <c r="L79" i="1"/>
  <c r="L87" i="1"/>
  <c r="L95" i="1"/>
  <c r="O100" i="1"/>
  <c r="L103" i="1"/>
  <c r="L111" i="1"/>
  <c r="O116" i="1"/>
  <c r="L118" i="1"/>
  <c r="L136" i="1"/>
  <c r="J136" i="1"/>
  <c r="L160" i="1"/>
  <c r="J160" i="1"/>
  <c r="L176" i="1"/>
  <c r="J176" i="1"/>
  <c r="L179" i="1"/>
  <c r="L192" i="1"/>
  <c r="J192" i="1"/>
  <c r="L194" i="1"/>
  <c r="J194" i="1"/>
  <c r="L54" i="1"/>
  <c r="J55" i="1"/>
  <c r="J63" i="1"/>
  <c r="J71" i="1"/>
  <c r="L78" i="1"/>
  <c r="J79" i="1"/>
  <c r="L86" i="1"/>
  <c r="J87" i="1"/>
  <c r="L94" i="1"/>
  <c r="J95" i="1"/>
  <c r="L102" i="1"/>
  <c r="J103" i="1"/>
  <c r="L110" i="1"/>
  <c r="J111" i="1"/>
  <c r="J118" i="1"/>
  <c r="J125" i="1"/>
  <c r="L132" i="1"/>
  <c r="J132" i="1"/>
  <c r="L139" i="1"/>
  <c r="J143" i="1"/>
  <c r="J150" i="1"/>
  <c r="L153" i="1"/>
  <c r="J163" i="1"/>
  <c r="L166" i="1"/>
  <c r="J166" i="1"/>
  <c r="L169" i="1"/>
  <c r="J179" i="1"/>
  <c r="L182" i="1"/>
  <c r="J182" i="1"/>
  <c r="L185" i="1"/>
  <c r="L85" i="1"/>
  <c r="L109" i="1"/>
  <c r="L128" i="1"/>
  <c r="J128" i="1"/>
  <c r="L135" i="1"/>
  <c r="L142" i="1"/>
  <c r="L149" i="1"/>
  <c r="L156" i="1"/>
  <c r="J156" i="1"/>
  <c r="L159" i="1"/>
  <c r="L172" i="1"/>
  <c r="J172" i="1"/>
  <c r="L188" i="1"/>
  <c r="J188" i="1"/>
  <c r="L68" i="1"/>
  <c r="J85" i="1"/>
  <c r="J93" i="1"/>
  <c r="L100" i="1"/>
  <c r="J101" i="1"/>
  <c r="J109" i="1"/>
  <c r="L116" i="1"/>
  <c r="J117" i="1"/>
  <c r="L124" i="1"/>
  <c r="J124" i="1"/>
  <c r="L131" i="1"/>
  <c r="J135" i="1"/>
  <c r="L138" i="1"/>
  <c r="J142" i="1"/>
  <c r="J149" i="1"/>
  <c r="J159" i="1"/>
  <c r="L162" i="1"/>
  <c r="J162" i="1"/>
  <c r="J175" i="1"/>
  <c r="L178" i="1"/>
  <c r="J178" i="1"/>
  <c r="J191" i="1"/>
  <c r="L67" i="1"/>
  <c r="L91" i="1"/>
  <c r="L99" i="1"/>
  <c r="L120" i="1"/>
  <c r="J120" i="1"/>
  <c r="J138" i="1"/>
  <c r="L141" i="1"/>
  <c r="L152" i="1"/>
  <c r="J152" i="1"/>
  <c r="L155" i="1"/>
  <c r="L168" i="1"/>
  <c r="J168" i="1"/>
  <c r="L171" i="1"/>
  <c r="L184" i="1"/>
  <c r="J184" i="1"/>
  <c r="L187" i="1"/>
  <c r="J195" i="1"/>
  <c r="L58" i="1"/>
  <c r="J59" i="1"/>
  <c r="J67" i="1"/>
  <c r="J75" i="1"/>
  <c r="J83" i="1"/>
  <c r="L90" i="1"/>
  <c r="J91" i="1"/>
  <c r="L98" i="1"/>
  <c r="J99" i="1"/>
  <c r="J107" i="1"/>
  <c r="J115" i="1"/>
  <c r="J127" i="1"/>
  <c r="J134" i="1"/>
  <c r="J141" i="1"/>
  <c r="L148" i="1"/>
  <c r="J148" i="1"/>
  <c r="J155" i="1"/>
  <c r="L158" i="1"/>
  <c r="J158" i="1"/>
  <c r="J171" i="1"/>
  <c r="L174" i="1"/>
  <c r="J174" i="1"/>
  <c r="J187" i="1"/>
  <c r="L57" i="1"/>
  <c r="L65" i="1"/>
  <c r="L105" i="1"/>
  <c r="L113" i="1"/>
  <c r="L119" i="1"/>
  <c r="L126" i="1"/>
  <c r="L133" i="1"/>
  <c r="L144" i="1"/>
  <c r="J144" i="1"/>
  <c r="L164" i="1"/>
  <c r="J164" i="1"/>
  <c r="L167" i="1"/>
  <c r="L180" i="1"/>
  <c r="J180" i="1"/>
  <c r="L183" i="1"/>
  <c r="L64" i="1"/>
  <c r="L80" i="1"/>
  <c r="L96" i="1"/>
  <c r="L140" i="1"/>
  <c r="J140" i="1"/>
  <c r="L154" i="1"/>
  <c r="J154" i="1"/>
  <c r="L157" i="1"/>
  <c r="L170" i="1"/>
  <c r="J170" i="1"/>
  <c r="L186" i="1"/>
  <c r="J186" i="1"/>
  <c r="L197" i="1"/>
  <c r="J200" i="1"/>
  <c r="L190" i="1"/>
  <c r="J190" i="1"/>
  <c r="J199" i="1"/>
  <c r="L193" i="1"/>
  <c r="J196" i="1"/>
  <c r="L195" i="1"/>
  <c r="J201" i="1"/>
  <c r="W3" i="1" l="1"/>
  <c r="V11" i="1"/>
  <c r="V3" i="1"/>
  <c r="V2" i="1"/>
  <c r="W2" i="1"/>
  <c r="W11" i="1"/>
  <c r="V5" i="1"/>
  <c r="AB4" i="1"/>
  <c r="AB3" i="1"/>
  <c r="V6" i="1"/>
  <c r="W8" i="1"/>
  <c r="V8" i="1"/>
  <c r="W4" i="1"/>
  <c r="V4" i="1"/>
  <c r="S11" i="1"/>
  <c r="R11" i="1"/>
  <c r="Y11" i="1" s="1"/>
  <c r="S9" i="1"/>
  <c r="R9" i="1"/>
  <c r="Y9" i="1" s="1"/>
  <c r="R3" i="1"/>
  <c r="Y3" i="1" s="1"/>
  <c r="S10" i="1"/>
  <c r="R7" i="1"/>
  <c r="Y7" i="1" s="1"/>
  <c r="R10" i="1"/>
  <c r="Y10" i="1" s="1"/>
  <c r="S5" i="1"/>
  <c r="R6" i="1"/>
  <c r="Y6" i="1" s="1"/>
  <c r="R5" i="1"/>
  <c r="Y5" i="1" s="1"/>
  <c r="S2" i="1"/>
  <c r="S7" i="1"/>
  <c r="S8" i="1"/>
  <c r="S4" i="1"/>
  <c r="R4" i="1"/>
  <c r="Y4" i="1" s="1"/>
  <c r="R8" i="1"/>
  <c r="Y8" i="1" s="1"/>
  <c r="R2" i="1"/>
  <c r="Y2" i="1" s="1"/>
  <c r="S6" i="1"/>
  <c r="S3" i="1"/>
  <c r="W5" i="1"/>
  <c r="V9" i="1"/>
  <c r="V7" i="1"/>
  <c r="W6" i="1"/>
  <c r="W9" i="1"/>
  <c r="W10" i="1"/>
  <c r="W7" i="1"/>
  <c r="V10" i="1"/>
</calcChain>
</file>

<file path=xl/sharedStrings.xml><?xml version="1.0" encoding="utf-8"?>
<sst xmlns="http://schemas.openxmlformats.org/spreadsheetml/2006/main" count="1429" uniqueCount="1272">
  <si>
    <t>Coin Name</t>
  </si>
  <si>
    <t>Symbol</t>
  </si>
  <si>
    <t>Price (USD)</t>
  </si>
  <si>
    <t>1h Change (%)</t>
  </si>
  <si>
    <t>Market Cap</t>
  </si>
  <si>
    <t>Volume (24h) USD</t>
  </si>
  <si>
    <t>Circulating Supply</t>
  </si>
  <si>
    <t>Volume (numeric)</t>
  </si>
  <si>
    <t>Qualifies (Vowel/B/C/D)</t>
  </si>
  <si>
    <t>Rank by Volume</t>
  </si>
  <si>
    <t>Market Cap (numeric)</t>
  </si>
  <si>
    <t>Rank by Market Cap</t>
  </si>
  <si>
    <t>1h Change (numeric)</t>
  </si>
  <si>
    <t>Sentiment</t>
  </si>
  <si>
    <t>Volume Tier</t>
  </si>
  <si>
    <t>Rank</t>
  </si>
  <si>
    <t>24h Volume (USD)</t>
  </si>
  <si>
    <t>Market Cap (USD)</t>
  </si>
  <si>
    <t>Count of Coins</t>
  </si>
  <si>
    <t>Bitcoin</t>
  </si>
  <si>
    <t>BTC</t>
  </si>
  <si>
    <t>$104,058.04</t>
  </si>
  <si>
    <t>0.24%</t>
  </si>
  <si>
    <t>$2.07T</t>
  </si>
  <si>
    <t>$43,170,391,288</t>
  </si>
  <si>
    <t>19.88M</t>
  </si>
  <si>
    <t>High</t>
  </si>
  <si>
    <t>Ethereum</t>
  </si>
  <si>
    <t>ETH</t>
  </si>
  <si>
    <t>$2,483.59</t>
  </si>
  <si>
    <t>0.76%</t>
  </si>
  <si>
    <t>$299.51B</t>
  </si>
  <si>
    <t>$14,942,260,356</t>
  </si>
  <si>
    <t>120.72M</t>
  </si>
  <si>
    <t>Medium</t>
  </si>
  <si>
    <t>Tether</t>
  </si>
  <si>
    <t>USDT</t>
  </si>
  <si>
    <t>$0.9999</t>
  </si>
  <si>
    <t>0.04%</t>
  </si>
  <si>
    <t>$155.95B</t>
  </si>
  <si>
    <t>$60,772,601,456</t>
  </si>
  <si>
    <t>155.94B</t>
  </si>
  <si>
    <t>Low</t>
  </si>
  <si>
    <t>XRP</t>
  </si>
  <si>
    <t>$2.12</t>
  </si>
  <si>
    <t>0.55%</t>
  </si>
  <si>
    <t>$125.42B</t>
  </si>
  <si>
    <t>$2,046,333,328</t>
  </si>
  <si>
    <t>58.93B</t>
  </si>
  <si>
    <t>BNB</t>
  </si>
  <si>
    <t>$644.79</t>
  </si>
  <si>
    <t>0.10%</t>
  </si>
  <si>
    <t>$90.84B</t>
  </si>
  <si>
    <t>$1,497,928,447</t>
  </si>
  <si>
    <t>140.88M</t>
  </si>
  <si>
    <t>Solana</t>
  </si>
  <si>
    <t>SOL</t>
  </si>
  <si>
    <t>$142.67</t>
  </si>
  <si>
    <t>0.99%</t>
  </si>
  <si>
    <t>$75.33B</t>
  </si>
  <si>
    <t>$2,904,341,748</t>
  </si>
  <si>
    <t>527.96M</t>
  </si>
  <si>
    <t>USDC</t>
  </si>
  <si>
    <t>$0.9998</t>
  </si>
  <si>
    <t>0.03%</t>
  </si>
  <si>
    <t>$61.23B</t>
  </si>
  <si>
    <t>$8,208,315,257</t>
  </si>
  <si>
    <t>61.23B</t>
  </si>
  <si>
    <t>TRON</t>
  </si>
  <si>
    <t>TRX</t>
  </si>
  <si>
    <t>$0.2734</t>
  </si>
  <si>
    <t>0.36%</t>
  </si>
  <si>
    <t>$25.93B</t>
  </si>
  <si>
    <t>$445,406,337</t>
  </si>
  <si>
    <t>94.82B</t>
  </si>
  <si>
    <t>Dogecoin</t>
  </si>
  <si>
    <t>DOGE</t>
  </si>
  <si>
    <t>$0.1654</t>
  </si>
  <si>
    <t>0.94%</t>
  </si>
  <si>
    <t>$24.77B</t>
  </si>
  <si>
    <t>$781,433,558</t>
  </si>
  <si>
    <t>149.76B</t>
  </si>
  <si>
    <t>Cardano</t>
  </si>
  <si>
    <t>ADA</t>
  </si>
  <si>
    <t>$0.5808</t>
  </si>
  <si>
    <t>0.96%</t>
  </si>
  <si>
    <t>$20.54B</t>
  </si>
  <si>
    <t>$539,447,597</t>
  </si>
  <si>
    <t>35.36B</t>
  </si>
  <si>
    <t>Pudgy Penguins</t>
  </si>
  <si>
    <t>PENGU</t>
  </si>
  <si>
    <t>$0.009096</t>
  </si>
  <si>
    <t>1.40%</t>
  </si>
  <si>
    <t>$571.84M</t>
  </si>
  <si>
    <t>$60,468,868</t>
  </si>
  <si>
    <t>62.86B</t>
  </si>
  <si>
    <t>Walrus</t>
  </si>
  <si>
    <t>WAL</t>
  </si>
  <si>
    <t>$0.4205</t>
  </si>
  <si>
    <t>1.57%</t>
  </si>
  <si>
    <t>$567M</t>
  </si>
  <si>
    <t>$22,854,744</t>
  </si>
  <si>
    <t>1.34B</t>
  </si>
  <si>
    <t>Raydium</t>
  </si>
  <si>
    <t>RAY</t>
  </si>
  <si>
    <t>$2.06</t>
  </si>
  <si>
    <t>1.17%</t>
  </si>
  <si>
    <t>$551.36M</t>
  </si>
  <si>
    <t>$110,228,545</t>
  </si>
  <si>
    <t>267.62M</t>
  </si>
  <si>
    <t>Core</t>
  </si>
  <si>
    <t>CORE</t>
  </si>
  <si>
    <t>$0.5443</t>
  </si>
  <si>
    <t>0.82%</t>
  </si>
  <si>
    <t>$546.45M</t>
  </si>
  <si>
    <t>$14,386,742</t>
  </si>
  <si>
    <t>1B</t>
  </si>
  <si>
    <t>Tezos</t>
  </si>
  <si>
    <t>XTZ</t>
  </si>
  <si>
    <t>$0.5207</t>
  </si>
  <si>
    <t>0.66%</t>
  </si>
  <si>
    <t>$545.72M</t>
  </si>
  <si>
    <t>$14,355,952</t>
  </si>
  <si>
    <t>1.04B</t>
  </si>
  <si>
    <t>Pyth Network</t>
  </si>
  <si>
    <t>PYTH</t>
  </si>
  <si>
    <t>$0.09453</t>
  </si>
  <si>
    <t>2.27%</t>
  </si>
  <si>
    <t>$543.57M</t>
  </si>
  <si>
    <t>$27,917,564</t>
  </si>
  <si>
    <t>5.74B</t>
  </si>
  <si>
    <t>Flow</t>
  </si>
  <si>
    <t>FLOW</t>
  </si>
  <si>
    <t>$0.3394</t>
  </si>
  <si>
    <t>1.00%</t>
  </si>
  <si>
    <t>$539.91M</t>
  </si>
  <si>
    <t>$21,157,648</t>
  </si>
  <si>
    <t>1.59B</t>
  </si>
  <si>
    <t>Maple Finance</t>
  </si>
  <si>
    <t>SYRUP</t>
  </si>
  <si>
    <t>$0.4626</t>
  </si>
  <si>
    <t>3.05%</t>
  </si>
  <si>
    <t>$515.17M</t>
  </si>
  <si>
    <t>$70,946,476</t>
  </si>
  <si>
    <t>1.11B</t>
  </si>
  <si>
    <t>Decentraland</t>
  </si>
  <si>
    <t>MANA</t>
  </si>
  <si>
    <t>$0.2505</t>
  </si>
  <si>
    <t>1.37%</t>
  </si>
  <si>
    <t>$493.58M</t>
  </si>
  <si>
    <t>$25,685,731</t>
  </si>
  <si>
    <t>1.96B</t>
  </si>
  <si>
    <t>TrueUSD</t>
  </si>
  <si>
    <t>TUSD</t>
  </si>
  <si>
    <t>$0.9976</t>
  </si>
  <si>
    <t>0.01%</t>
  </si>
  <si>
    <t>$493.33M</t>
  </si>
  <si>
    <t>$60,347,807</t>
  </si>
  <si>
    <t>494.51M</t>
  </si>
  <si>
    <t>Fasttoken</t>
  </si>
  <si>
    <t>FTN</t>
  </si>
  <si>
    <t>$4.45</t>
  </si>
  <si>
    <t>$1.95B</t>
  </si>
  <si>
    <t>$58,305,626</t>
  </si>
  <si>
    <t>436.26M</t>
  </si>
  <si>
    <t>Jupiter Perps LP</t>
  </si>
  <si>
    <t>JLP</t>
  </si>
  <si>
    <t>$4.32</t>
  </si>
  <si>
    <t>0.45%</t>
  </si>
  <si>
    <t>$1.49B</t>
  </si>
  <si>
    <t>$17,245,756</t>
  </si>
  <si>
    <t>343.49M</t>
  </si>
  <si>
    <t>Zeebu</t>
  </si>
  <si>
    <t>ZBU</t>
  </si>
  <si>
    <t>$3.26</t>
  </si>
  <si>
    <t>0.06%</t>
  </si>
  <si>
    <t>$846.7M</t>
  </si>
  <si>
    <t>$486,945</t>
  </si>
  <si>
    <t>258.97M</t>
  </si>
  <si>
    <t>Fellaz</t>
  </si>
  <si>
    <t>FLZ</t>
  </si>
  <si>
    <t>$1.43</t>
  </si>
  <si>
    <t>0.52%</t>
  </si>
  <si>
    <t>$677.19M</t>
  </si>
  <si>
    <t>$2,595,867</t>
  </si>
  <si>
    <t>471.87M</t>
  </si>
  <si>
    <t>Usual USD</t>
  </si>
  <si>
    <t>USD0</t>
  </si>
  <si>
    <t>$0.9977</t>
  </si>
  <si>
    <t>$652.01M</t>
  </si>
  <si>
    <t>$6,754,108</t>
  </si>
  <si>
    <t>653.46M</t>
  </si>
  <si>
    <t>Ondo US Dollar Yield</t>
  </si>
  <si>
    <t>USDY</t>
  </si>
  <si>
    <t>$1.09</t>
  </si>
  <si>
    <t>$635.98M</t>
  </si>
  <si>
    <t>$2,293,702</t>
  </si>
  <si>
    <t>581.35M</t>
  </si>
  <si>
    <t>Falcon USD</t>
  </si>
  <si>
    <t>USDf</t>
  </si>
  <si>
    <t>$0.9997</t>
  </si>
  <si>
    <t>0.00%</t>
  </si>
  <si>
    <t>$563.5M</t>
  </si>
  <si>
    <t>$3,265,776</t>
  </si>
  <si>
    <t>563.65M</t>
  </si>
  <si>
    <t>Loaded Lions</t>
  </si>
  <si>
    <t>LION</t>
  </si>
  <si>
    <t>$0.01647</t>
  </si>
  <si>
    <t>$546.47M</t>
  </si>
  <si>
    <t>$183,208</t>
  </si>
  <si>
    <t>33.16B</t>
  </si>
  <si>
    <t>would</t>
  </si>
  <si>
    <t>WOULD</t>
  </si>
  <si>
    <t>$0.4946</t>
  </si>
  <si>
    <t>3.03%</t>
  </si>
  <si>
    <t>$494.41M</t>
  </si>
  <si>
    <t>$138,536</t>
  </si>
  <si>
    <t>999.45M</t>
  </si>
  <si>
    <t>WhiteRock</t>
  </si>
  <si>
    <t>WHITE</t>
  </si>
  <si>
    <t>$0.0007355</t>
  </si>
  <si>
    <t>$478.12M</t>
  </si>
  <si>
    <t>$772,538</t>
  </si>
  <si>
    <t>650B</t>
  </si>
  <si>
    <t>Ontology</t>
  </si>
  <si>
    <t>ONT</t>
  </si>
  <si>
    <t>$0.1205</t>
  </si>
  <si>
    <t>1.14%</t>
  </si>
  <si>
    <t>$110.11M</t>
  </si>
  <si>
    <t>$4,884,866</t>
  </si>
  <si>
    <t>913.69M</t>
  </si>
  <si>
    <t>Request</t>
  </si>
  <si>
    <t>REQ</t>
  </si>
  <si>
    <t>$0.1336</t>
  </si>
  <si>
    <t>0.32%</t>
  </si>
  <si>
    <t>$110.12M</t>
  </si>
  <si>
    <t>$3,268,919</t>
  </si>
  <si>
    <t>824.21M</t>
  </si>
  <si>
    <t>Paycoin</t>
  </si>
  <si>
    <t>PCI</t>
  </si>
  <si>
    <t>$0.1043</t>
  </si>
  <si>
    <t>0.63%</t>
  </si>
  <si>
    <t>$109.85M</t>
  </si>
  <si>
    <t>$4,086,544</t>
  </si>
  <si>
    <t>1.05B</t>
  </si>
  <si>
    <t>COTI</t>
  </si>
  <si>
    <t>$0.05028</t>
  </si>
  <si>
    <t>0.95%</t>
  </si>
  <si>
    <t>$109.59M</t>
  </si>
  <si>
    <t>$5,574,946</t>
  </si>
  <si>
    <t>2.17B</t>
  </si>
  <si>
    <t>Gravity (by Galxe)</t>
  </si>
  <si>
    <t>G</t>
  </si>
  <si>
    <t>$0.01148</t>
  </si>
  <si>
    <t>1.13%</t>
  </si>
  <si>
    <t>$109.13M</t>
  </si>
  <si>
    <t>$6,571,559</t>
  </si>
  <si>
    <t>9.5B</t>
  </si>
  <si>
    <t>Terra</t>
  </si>
  <si>
    <t>LUNA</t>
  </si>
  <si>
    <t>$0.1536</t>
  </si>
  <si>
    <t>1.01%</t>
  </si>
  <si>
    <t>$109.06M</t>
  </si>
  <si>
    <t>$11,365,168</t>
  </si>
  <si>
    <t>709.98M</t>
  </si>
  <si>
    <t>Solar</t>
  </si>
  <si>
    <t>SXP</t>
  </si>
  <si>
    <t>$0.1680</t>
  </si>
  <si>
    <t>0.29%</t>
  </si>
  <si>
    <t>$108.68M</t>
  </si>
  <si>
    <t>$44,129,611</t>
  </si>
  <si>
    <t>646.86M</t>
  </si>
  <si>
    <t>Destra Network</t>
  </si>
  <si>
    <t>DSYNC</t>
  </si>
  <si>
    <t>$0.1111</t>
  </si>
  <si>
    <t>0.71%</t>
  </si>
  <si>
    <t>$108.35M</t>
  </si>
  <si>
    <t>$1,068,402</t>
  </si>
  <si>
    <t>974.94M</t>
  </si>
  <si>
    <t>World Mobile Token</t>
  </si>
  <si>
    <t>WMTX</t>
  </si>
  <si>
    <t>$0.1537</t>
  </si>
  <si>
    <t>0.54%</t>
  </si>
  <si>
    <t>$108.02M</t>
  </si>
  <si>
    <t>$7,215,924</t>
  </si>
  <si>
    <t>702.77M</t>
  </si>
  <si>
    <t>SKALE</t>
  </si>
  <si>
    <t>SKL</t>
  </si>
  <si>
    <t>$0.01813</t>
  </si>
  <si>
    <t>1.59%</t>
  </si>
  <si>
    <t>$107.06M</t>
  </si>
  <si>
    <t>$8,143,928</t>
  </si>
  <si>
    <t>5.9B</t>
  </si>
  <si>
    <t>Usual</t>
  </si>
  <si>
    <t>USUAL</t>
  </si>
  <si>
    <t>$0.07198</t>
  </si>
  <si>
    <t>$72.72M</t>
  </si>
  <si>
    <t>$25,758,134</t>
  </si>
  <si>
    <t>1.01B</t>
  </si>
  <si>
    <t>Arcblock</t>
  </si>
  <si>
    <t>ABT</t>
  </si>
  <si>
    <t>$0.7374</t>
  </si>
  <si>
    <t>0.69%</t>
  </si>
  <si>
    <t>$72.68M</t>
  </si>
  <si>
    <t>$522,812</t>
  </si>
  <si>
    <t>98.55M</t>
  </si>
  <si>
    <t>Memecoin</t>
  </si>
  <si>
    <t>MEME</t>
  </si>
  <si>
    <t>$0.001517</t>
  </si>
  <si>
    <t>1.88%</t>
  </si>
  <si>
    <t>$72.35M</t>
  </si>
  <si>
    <t>$15,717,380</t>
  </si>
  <si>
    <t>47.67B</t>
  </si>
  <si>
    <t>MiL.k</t>
  </si>
  <si>
    <t>MLK</t>
  </si>
  <si>
    <t>$0.1538</t>
  </si>
  <si>
    <t>0.14%</t>
  </si>
  <si>
    <t>$72.36M</t>
  </si>
  <si>
    <t>$4,873,644</t>
  </si>
  <si>
    <t>470.44M</t>
  </si>
  <si>
    <t>dKargo</t>
  </si>
  <si>
    <t>DKA</t>
  </si>
  <si>
    <t>$0.01544</t>
  </si>
  <si>
    <t>0.17%</t>
  </si>
  <si>
    <t>$72.37M</t>
  </si>
  <si>
    <t>$1,356,568</t>
  </si>
  <si>
    <t>4.68B</t>
  </si>
  <si>
    <t>AI Companions</t>
  </si>
  <si>
    <t>AIC</t>
  </si>
  <si>
    <t>$0.09574</t>
  </si>
  <si>
    <t>1.09%</t>
  </si>
  <si>
    <t>$71.81M</t>
  </si>
  <si>
    <t>$9,190,572</t>
  </si>
  <si>
    <t>749.99M</t>
  </si>
  <si>
    <t>Degen</t>
  </si>
  <si>
    <t>DEGEN</t>
  </si>
  <si>
    <t>$0.003229</t>
  </si>
  <si>
    <t>3.42%</t>
  </si>
  <si>
    <t>$71.33M</t>
  </si>
  <si>
    <t>$7,399,528</t>
  </si>
  <si>
    <t>22.09B</t>
  </si>
  <si>
    <t>Aevo</t>
  </si>
  <si>
    <t>AEVO</t>
  </si>
  <si>
    <t>$0.07876</t>
  </si>
  <si>
    <t>1.61%</t>
  </si>
  <si>
    <t>$71.27M</t>
  </si>
  <si>
    <t>$12,716,009</t>
  </si>
  <si>
    <t>904.86M</t>
  </si>
  <si>
    <t>Spark</t>
  </si>
  <si>
    <t>SPK</t>
  </si>
  <si>
    <t>$0.04205</t>
  </si>
  <si>
    <t>2.44%</t>
  </si>
  <si>
    <t>$71.5M</t>
  </si>
  <si>
    <t>$135,025,163</t>
  </si>
  <si>
    <t>1.7B</t>
  </si>
  <si>
    <t>Global Commercial Business</t>
  </si>
  <si>
    <t>GCB</t>
  </si>
  <si>
    <t>$0.05947</t>
  </si>
  <si>
    <t>0.02%</t>
  </si>
  <si>
    <t>$71.47M</t>
  </si>
  <si>
    <t>$12,909</t>
  </si>
  <si>
    <t>1.2B</t>
  </si>
  <si>
    <t>NEM</t>
  </si>
  <si>
    <t>XEM</t>
  </si>
  <si>
    <t>$0.006272</t>
  </si>
  <si>
    <t>0.53%</t>
  </si>
  <si>
    <t>$56.45M</t>
  </si>
  <si>
    <t>$16,850,030</t>
  </si>
  <si>
    <t>8.99B</t>
  </si>
  <si>
    <t>Humans.ai</t>
  </si>
  <si>
    <t>HEART</t>
  </si>
  <si>
    <t>$0.006635</t>
  </si>
  <si>
    <t>1.32%</t>
  </si>
  <si>
    <t>$51.76M</t>
  </si>
  <si>
    <t>$448,016</t>
  </si>
  <si>
    <t>7.8B</t>
  </si>
  <si>
    <t>Oasys</t>
  </si>
  <si>
    <t>OAS</t>
  </si>
  <si>
    <t>$0.01177</t>
  </si>
  <si>
    <t>0.18%</t>
  </si>
  <si>
    <t>$51.5M</t>
  </si>
  <si>
    <t>$817,224</t>
  </si>
  <si>
    <t>4.37B</t>
  </si>
  <si>
    <t>Smooth Love Potion</t>
  </si>
  <si>
    <t>SLP</t>
  </si>
  <si>
    <t>$0.001253</t>
  </si>
  <si>
    <t>1.53%</t>
  </si>
  <si>
    <t>$51.48M</t>
  </si>
  <si>
    <t>$5,590,436</t>
  </si>
  <si>
    <t>41.08B</t>
  </si>
  <si>
    <t>Neutron</t>
  </si>
  <si>
    <t>NTRN</t>
  </si>
  <si>
    <t>$0.08626</t>
  </si>
  <si>
    <t>0.92%</t>
  </si>
  <si>
    <t>$51.37M</t>
  </si>
  <si>
    <t>$2,536,218</t>
  </si>
  <si>
    <t>595.52M</t>
  </si>
  <si>
    <t>Eurite</t>
  </si>
  <si>
    <t>EURI</t>
  </si>
  <si>
    <t>$1.15</t>
  </si>
  <si>
    <t>0.07%</t>
  </si>
  <si>
    <t>$51.31M</t>
  </si>
  <si>
    <t>$22,680,605</t>
  </si>
  <si>
    <t>44.52M</t>
  </si>
  <si>
    <t>ANDY (ETH)</t>
  </si>
  <si>
    <t>ANDY</t>
  </si>
  <si>
    <t>$0.00005125</t>
  </si>
  <si>
    <t>0.57%</t>
  </si>
  <si>
    <t>$51.26M</t>
  </si>
  <si>
    <t>$1,414,981</t>
  </si>
  <si>
    <t>1T</t>
  </si>
  <si>
    <t>GameBuild</t>
  </si>
  <si>
    <t>GAME</t>
  </si>
  <si>
    <t>$0.002875</t>
  </si>
  <si>
    <t>$50.98M</t>
  </si>
  <si>
    <t>$3,358,220</t>
  </si>
  <si>
    <t>17.72B</t>
  </si>
  <si>
    <t>Tornado Cash</t>
  </si>
  <si>
    <t>TORN</t>
  </si>
  <si>
    <t>$9.67</t>
  </si>
  <si>
    <t>$50.88M</t>
  </si>
  <si>
    <t>$101,491</t>
  </si>
  <si>
    <t>5.26M</t>
  </si>
  <si>
    <t>DeFi Pulse Index</t>
  </si>
  <si>
    <t>DPI</t>
  </si>
  <si>
    <t>$90.45</t>
  </si>
  <si>
    <t>2.82%</t>
  </si>
  <si>
    <t>$50.56M</t>
  </si>
  <si>
    <t>$21,125</t>
  </si>
  <si>
    <t>558.98K</t>
  </si>
  <si>
    <t>Kujira</t>
  </si>
  <si>
    <t>KUJI</t>
  </si>
  <si>
    <t>$0.3031</t>
  </si>
  <si>
    <t>1.73%</t>
  </si>
  <si>
    <t>$37.1M</t>
  </si>
  <si>
    <t>$17,173</t>
  </si>
  <si>
    <t>122.34M</t>
  </si>
  <si>
    <t>Gains Network</t>
  </si>
  <si>
    <t>GNS</t>
  </si>
  <si>
    <t>$1.26</t>
  </si>
  <si>
    <t>0.31%</t>
  </si>
  <si>
    <t>$36.94M</t>
  </si>
  <si>
    <t>$1,913,531</t>
  </si>
  <si>
    <t>29.27M</t>
  </si>
  <si>
    <t>AVA (Travala)</t>
  </si>
  <si>
    <t>AVA</t>
  </si>
  <si>
    <t>$0.5361</t>
  </si>
  <si>
    <t>0.49%</t>
  </si>
  <si>
    <t>$36.9M</t>
  </si>
  <si>
    <t>$5,008,504</t>
  </si>
  <si>
    <t>68.83M</t>
  </si>
  <si>
    <t>DEAPcoin</t>
  </si>
  <si>
    <t>DEP</t>
  </si>
  <si>
    <t>$0.001245</t>
  </si>
  <si>
    <t>0.25%</t>
  </si>
  <si>
    <t>$36.78M</t>
  </si>
  <si>
    <t>$1,669,915</t>
  </si>
  <si>
    <t>29.54B</t>
  </si>
  <si>
    <t>The Arena</t>
  </si>
  <si>
    <t>ARENA</t>
  </si>
  <si>
    <t>$0.01497</t>
  </si>
  <si>
    <t>$36.73M</t>
  </si>
  <si>
    <t>$260,802</t>
  </si>
  <si>
    <t>2.45B</t>
  </si>
  <si>
    <t>Dohrnii</t>
  </si>
  <si>
    <t>DHN</t>
  </si>
  <si>
    <t>$2.13</t>
  </si>
  <si>
    <t>0.05%</t>
  </si>
  <si>
    <t>$36.4M</t>
  </si>
  <si>
    <t>$867,656</t>
  </si>
  <si>
    <t>17.07M</t>
  </si>
  <si>
    <t>Ampleforth Governance Token</t>
  </si>
  <si>
    <t>FORTH</t>
  </si>
  <si>
    <t>$2.53</t>
  </si>
  <si>
    <t>0.44%</t>
  </si>
  <si>
    <t>$36.37M</t>
  </si>
  <si>
    <t>$2,914,375</t>
  </si>
  <si>
    <t>14.34M</t>
  </si>
  <si>
    <t>Metadium</t>
  </si>
  <si>
    <t>META</t>
  </si>
  <si>
    <t>$0.02100</t>
  </si>
  <si>
    <t>0.08%</t>
  </si>
  <si>
    <t>$35.98M</t>
  </si>
  <si>
    <t>$252,063</t>
  </si>
  <si>
    <t>1.71B</t>
  </si>
  <si>
    <t>Shentu</t>
  </si>
  <si>
    <t>CTK</t>
  </si>
  <si>
    <t>$0.2442</t>
  </si>
  <si>
    <t>$35.96M</t>
  </si>
  <si>
    <t>$3,564,164</t>
  </si>
  <si>
    <t>147.24M</t>
  </si>
  <si>
    <t>Nakamoto Games</t>
  </si>
  <si>
    <t>NAKA</t>
  </si>
  <si>
    <t>$0.3388</t>
  </si>
  <si>
    <t>$35.84M</t>
  </si>
  <si>
    <t>$8,693,511</t>
  </si>
  <si>
    <t>105.76M</t>
  </si>
  <si>
    <t>Groestlcoin</t>
  </si>
  <si>
    <t>GRS</t>
  </si>
  <si>
    <t>$0.2993</t>
  </si>
  <si>
    <t>0.15%</t>
  </si>
  <si>
    <t>$26.28M</t>
  </si>
  <si>
    <t>$254,347</t>
  </si>
  <si>
    <t>87.8M</t>
  </si>
  <si>
    <t>Sui Name Service</t>
  </si>
  <si>
    <t>NS</t>
  </si>
  <si>
    <t>$0.1401</t>
  </si>
  <si>
    <t>1.77%</t>
  </si>
  <si>
    <t>$26.22M</t>
  </si>
  <si>
    <t>$2,161,326</t>
  </si>
  <si>
    <t>187.11M</t>
  </si>
  <si>
    <t>Haedal Protocol</t>
  </si>
  <si>
    <t>HAEDAL</t>
  </si>
  <si>
    <t>$0.1279</t>
  </si>
  <si>
    <t>$26.07M</t>
  </si>
  <si>
    <t>$33,236,555</t>
  </si>
  <si>
    <t>203.75M</t>
  </si>
  <si>
    <t>Fractal Bitcoin</t>
  </si>
  <si>
    <t>FB</t>
  </si>
  <si>
    <t>$0.5232</t>
  </si>
  <si>
    <t>2.19%</t>
  </si>
  <si>
    <t>$26.15M</t>
  </si>
  <si>
    <t>$5,485,485</t>
  </si>
  <si>
    <t>49.97M</t>
  </si>
  <si>
    <t>PlatON</t>
  </si>
  <si>
    <t>LAT</t>
  </si>
  <si>
    <t>$0.003926</t>
  </si>
  <si>
    <t>$25.94M</t>
  </si>
  <si>
    <t>$4,157,460</t>
  </si>
  <si>
    <t>6.6B</t>
  </si>
  <si>
    <t>NFPrompt</t>
  </si>
  <si>
    <t>NFP</t>
  </si>
  <si>
    <t>$0.05651</t>
  </si>
  <si>
    <t>1.46%</t>
  </si>
  <si>
    <t>$25.85M</t>
  </si>
  <si>
    <t>$3,148,017</t>
  </si>
  <si>
    <t>457.31M</t>
  </si>
  <si>
    <t>Orbiter Finance</t>
  </si>
  <si>
    <t>OBT</t>
  </si>
  <si>
    <t>$0.008376</t>
  </si>
  <si>
    <t>4.27%</t>
  </si>
  <si>
    <t>$25.97M</t>
  </si>
  <si>
    <t>$40,860,347</t>
  </si>
  <si>
    <t>3.1B</t>
  </si>
  <si>
    <t>Covalent X Token</t>
  </si>
  <si>
    <t>CXT</t>
  </si>
  <si>
    <t>$0.02654</t>
  </si>
  <si>
    <t>0.33%</t>
  </si>
  <si>
    <t>$25.88M</t>
  </si>
  <si>
    <t>$2,231,412</t>
  </si>
  <si>
    <t>974.89M</t>
  </si>
  <si>
    <t>OMG Network</t>
  </si>
  <si>
    <t>OMG</t>
  </si>
  <si>
    <t>$0.1841</t>
  </si>
  <si>
    <t>$25.83M</t>
  </si>
  <si>
    <t>$3,675,488</t>
  </si>
  <si>
    <t>140.24M</t>
  </si>
  <si>
    <t>Radiant Capital</t>
  </si>
  <si>
    <t>RDNT</t>
  </si>
  <si>
    <t>$0.02085</t>
  </si>
  <si>
    <t>1.26%</t>
  </si>
  <si>
    <t>$25.73M</t>
  </si>
  <si>
    <t>$5,290,020</t>
  </si>
  <si>
    <t>1.23B</t>
  </si>
  <si>
    <t>Klever Coin</t>
  </si>
  <si>
    <t>KLV</t>
  </si>
  <si>
    <t>$0.002244</t>
  </si>
  <si>
    <t>0.42%</t>
  </si>
  <si>
    <t>$19.94M</t>
  </si>
  <si>
    <t>$2,554,402</t>
  </si>
  <si>
    <t>8.88B</t>
  </si>
  <si>
    <t>Pups (Bitcoin)</t>
  </si>
  <si>
    <t>PUPS</t>
  </si>
  <si>
    <t>$0.02041</t>
  </si>
  <si>
    <t>4.24%</t>
  </si>
  <si>
    <t>$19.77M</t>
  </si>
  <si>
    <t>$174,082</t>
  </si>
  <si>
    <t>968.44M</t>
  </si>
  <si>
    <t>NATIX Network</t>
  </si>
  <si>
    <t>NATIX</t>
  </si>
  <si>
    <t>$0.001223</t>
  </si>
  <si>
    <t>$19.74M</t>
  </si>
  <si>
    <t>$362,962</t>
  </si>
  <si>
    <t>16.13B</t>
  </si>
  <si>
    <t>ORIGYN</t>
  </si>
  <si>
    <t>OGY</t>
  </si>
  <si>
    <t>$0.002523</t>
  </si>
  <si>
    <t>1.24%</t>
  </si>
  <si>
    <t>$19.76M</t>
  </si>
  <si>
    <t>$268,389</t>
  </si>
  <si>
    <t>7.82B</t>
  </si>
  <si>
    <t>Daddy Tate</t>
  </si>
  <si>
    <t>DADDY</t>
  </si>
  <si>
    <t>$0.03288</t>
  </si>
  <si>
    <t>$19.72M</t>
  </si>
  <si>
    <t>$999,710</t>
  </si>
  <si>
    <t>599.63M</t>
  </si>
  <si>
    <t>Impossible Finance Launchpad</t>
  </si>
  <si>
    <t>IDIA</t>
  </si>
  <si>
    <t>$0.02881</t>
  </si>
  <si>
    <t>$19.6M</t>
  </si>
  <si>
    <t>$47</t>
  </si>
  <si>
    <t>680M</t>
  </si>
  <si>
    <t>League of Kingdoms Arena</t>
  </si>
  <si>
    <t>LOKA</t>
  </si>
  <si>
    <t>$0.05197</t>
  </si>
  <si>
    <t>1.04%</t>
  </si>
  <si>
    <t>$19.56M</t>
  </si>
  <si>
    <t>$2,452,497</t>
  </si>
  <si>
    <t>376.38M</t>
  </si>
  <si>
    <t>Mango</t>
  </si>
  <si>
    <t>MNGO</t>
  </si>
  <si>
    <t>$0.01749</t>
  </si>
  <si>
    <t>$19.55M</t>
  </si>
  <si>
    <t>$45</t>
  </si>
  <si>
    <t>DAR Open Network</t>
  </si>
  <si>
    <t>D</t>
  </si>
  <si>
    <t>$0.03010</t>
  </si>
  <si>
    <t>1.58%</t>
  </si>
  <si>
    <t>$19.51M</t>
  </si>
  <si>
    <t>$2,760,725</t>
  </si>
  <si>
    <t>647.87M</t>
  </si>
  <si>
    <t>Alaya Governance Token</t>
  </si>
  <si>
    <t>AGT</t>
  </si>
  <si>
    <t>$0.01390</t>
  </si>
  <si>
    <t>$19.47M</t>
  </si>
  <si>
    <t>$7,675,089</t>
  </si>
  <si>
    <t>1.4B</t>
  </si>
  <si>
    <t>Port3 Network</t>
  </si>
  <si>
    <t>PORT3</t>
  </si>
  <si>
    <t>$0.04410</t>
  </si>
  <si>
    <t>$15.61M</t>
  </si>
  <si>
    <t>$4,797,522</t>
  </si>
  <si>
    <t>353.95M</t>
  </si>
  <si>
    <t>SIX Token</t>
  </si>
  <si>
    <t>SIX</t>
  </si>
  <si>
    <t>$0.01837</t>
  </si>
  <si>
    <t>0.40%</t>
  </si>
  <si>
    <t>$15.63M</t>
  </si>
  <si>
    <t>$884,405</t>
  </si>
  <si>
    <t>850.96M</t>
  </si>
  <si>
    <t>Cult DAO</t>
  </si>
  <si>
    <t>CULT</t>
  </si>
  <si>
    <t>$0.053611</t>
  </si>
  <si>
    <t>$15.6M</t>
  </si>
  <si>
    <t>$191,600</t>
  </si>
  <si>
    <t>4.31T</t>
  </si>
  <si>
    <t>crow with knife</t>
  </si>
  <si>
    <t>CAW</t>
  </si>
  <si>
    <t>$0.071993</t>
  </si>
  <si>
    <t>$15.35M</t>
  </si>
  <si>
    <t>$326,498</t>
  </si>
  <si>
    <t>769.86T</t>
  </si>
  <si>
    <t>Cortex</t>
  </si>
  <si>
    <t>CTXC</t>
  </si>
  <si>
    <t>$0.06667</t>
  </si>
  <si>
    <t>0.11%</t>
  </si>
  <si>
    <t>$15.36M</t>
  </si>
  <si>
    <t>$3,645,223</t>
  </si>
  <si>
    <t>230.41M</t>
  </si>
  <si>
    <t>Paris Saint-Germain Fan Token</t>
  </si>
  <si>
    <t>PSG</t>
  </si>
  <si>
    <t>$1.60</t>
  </si>
  <si>
    <t>$15.31M</t>
  </si>
  <si>
    <t>$3,216,530</t>
  </si>
  <si>
    <t>9.55M</t>
  </si>
  <si>
    <t>Comtech Gold</t>
  </si>
  <si>
    <t>CGO</t>
  </si>
  <si>
    <t>$108.17</t>
  </si>
  <si>
    <t>$15.25M</t>
  </si>
  <si>
    <t>$1,639,272</t>
  </si>
  <si>
    <t>141K</t>
  </si>
  <si>
    <t>Definitive</t>
  </si>
  <si>
    <t>EDGE</t>
  </si>
  <si>
    <t>$0.07508</t>
  </si>
  <si>
    <t>$1,739,142</t>
  </si>
  <si>
    <t>203.02M</t>
  </si>
  <si>
    <t>Contentos</t>
  </si>
  <si>
    <t>COS</t>
  </si>
  <si>
    <t>$0.002934</t>
  </si>
  <si>
    <t>0.73%</t>
  </si>
  <si>
    <t>$15.19M</t>
  </si>
  <si>
    <t>$2,771,456</t>
  </si>
  <si>
    <t>5.17B</t>
  </si>
  <si>
    <t>Step Finance</t>
  </si>
  <si>
    <t>STEP</t>
  </si>
  <si>
    <t>$0.06844</t>
  </si>
  <si>
    <t>2.51%</t>
  </si>
  <si>
    <t>$15.15M</t>
  </si>
  <si>
    <t>$128,760</t>
  </si>
  <si>
    <t>221.4M</t>
  </si>
  <si>
    <t>OctaSpace</t>
  </si>
  <si>
    <t>OCTA</t>
  </si>
  <si>
    <t>$0.3211</t>
  </si>
  <si>
    <t>$11.95M</t>
  </si>
  <si>
    <t>$654,812</t>
  </si>
  <si>
    <t>37.22M</t>
  </si>
  <si>
    <t>Aura Finance</t>
  </si>
  <si>
    <t>AURA</t>
  </si>
  <si>
    <t>$0.1823</t>
  </si>
  <si>
    <t>$11.96M</t>
  </si>
  <si>
    <t>$3,185</t>
  </si>
  <si>
    <t>65.6M</t>
  </si>
  <si>
    <t>PIBBLE</t>
  </si>
  <si>
    <t>PIB</t>
  </si>
  <si>
    <t>$0.0004951</t>
  </si>
  <si>
    <t>4.05%</t>
  </si>
  <si>
    <t>$4,772</t>
  </si>
  <si>
    <t>24.15B</t>
  </si>
  <si>
    <t>U2U Network</t>
  </si>
  <si>
    <t>U2U</t>
  </si>
  <si>
    <t>$0.007830</t>
  </si>
  <si>
    <t>0.51%</t>
  </si>
  <si>
    <t>$680,959</t>
  </si>
  <si>
    <t>1.52B</t>
  </si>
  <si>
    <t>Persistence One</t>
  </si>
  <si>
    <t>XPRT</t>
  </si>
  <si>
    <t>$0.05599</t>
  </si>
  <si>
    <t>$2,332,177</t>
  </si>
  <si>
    <t>213.36M</t>
  </si>
  <si>
    <t>TROLL (SOL)</t>
  </si>
  <si>
    <t>TROLL</t>
  </si>
  <si>
    <t>$0.01193</t>
  </si>
  <si>
    <t>$11.92M</t>
  </si>
  <si>
    <t>$2,707,699</t>
  </si>
  <si>
    <t>998.98M</t>
  </si>
  <si>
    <t>WeFi</t>
  </si>
  <si>
    <t>WFI</t>
  </si>
  <si>
    <t>$0.4212</t>
  </si>
  <si>
    <t>0.22%</t>
  </si>
  <si>
    <t>$11.85M</t>
  </si>
  <si>
    <t>$708,276</t>
  </si>
  <si>
    <t>28.13M</t>
  </si>
  <si>
    <t>Dora Factory</t>
  </si>
  <si>
    <t>DORA</t>
  </si>
  <si>
    <t>$0.02198</t>
  </si>
  <si>
    <t>1.41%</t>
  </si>
  <si>
    <t>$11.81M</t>
  </si>
  <si>
    <t>$1,407,422</t>
  </si>
  <si>
    <t>537.27M</t>
  </si>
  <si>
    <t>Alon</t>
  </si>
  <si>
    <t>ALON</t>
  </si>
  <si>
    <t>$0.01163</t>
  </si>
  <si>
    <t>$11.61M</t>
  </si>
  <si>
    <t>$1,737,116</t>
  </si>
  <si>
    <t>997.96M</t>
  </si>
  <si>
    <t>Beefy</t>
  </si>
  <si>
    <t>BIFI</t>
  </si>
  <si>
    <t>$146.92</t>
  </si>
  <si>
    <t>0.16%</t>
  </si>
  <si>
    <t>$11.75M</t>
  </si>
  <si>
    <t>$525,209</t>
  </si>
  <si>
    <t>80K</t>
  </si>
  <si>
    <t>Karate Combat</t>
  </si>
  <si>
    <t>KARATE</t>
  </si>
  <si>
    <t>$0.0001392</t>
  </si>
  <si>
    <t>$9.28M</t>
  </si>
  <si>
    <t>$202,163</t>
  </si>
  <si>
    <t>66.64B</t>
  </si>
  <si>
    <t>Efinity Token</t>
  </si>
  <si>
    <t>EFI</t>
  </si>
  <si>
    <t>$0.1065</t>
  </si>
  <si>
    <t>$9.26M</t>
  </si>
  <si>
    <t>N/A</t>
  </si>
  <si>
    <t>86.91M</t>
  </si>
  <si>
    <t>Nura Labs</t>
  </si>
  <si>
    <t>NURA</t>
  </si>
  <si>
    <t>$0.001881</t>
  </si>
  <si>
    <t>0.12%</t>
  </si>
  <si>
    <t>$9.17M</t>
  </si>
  <si>
    <t>$7,687,892</t>
  </si>
  <si>
    <t>4.87B</t>
  </si>
  <si>
    <t>Nexera</t>
  </si>
  <si>
    <t>NXRA</t>
  </si>
  <si>
    <t>$0.009059</t>
  </si>
  <si>
    <t>0.88%</t>
  </si>
  <si>
    <t>$75,137</t>
  </si>
  <si>
    <t>1.02B</t>
  </si>
  <si>
    <t>Department Of Government Efficiency (dogegov.com)</t>
  </si>
  <si>
    <t>$0.009443</t>
  </si>
  <si>
    <t>1.39%</t>
  </si>
  <si>
    <t>$9.25M</t>
  </si>
  <si>
    <t>$1,315,522</t>
  </si>
  <si>
    <t>979.12M</t>
  </si>
  <si>
    <t>moonpig</t>
  </si>
  <si>
    <t>MOONPIG</t>
  </si>
  <si>
    <t>$0.009081</t>
  </si>
  <si>
    <t>$9.08M</t>
  </si>
  <si>
    <t>$8,504,736</t>
  </si>
  <si>
    <t>999.93M</t>
  </si>
  <si>
    <t>Aerobud</t>
  </si>
  <si>
    <t>AEROBUD</t>
  </si>
  <si>
    <t>$0.009401</t>
  </si>
  <si>
    <t>1.80%</t>
  </si>
  <si>
    <t>$9.12M</t>
  </si>
  <si>
    <t>$232,710</t>
  </si>
  <si>
    <t>970M</t>
  </si>
  <si>
    <t>cheqd</t>
  </si>
  <si>
    <t>CHEQ</t>
  </si>
  <si>
    <t>$0.01413</t>
  </si>
  <si>
    <t>$351,905</t>
  </si>
  <si>
    <t>642.49M</t>
  </si>
  <si>
    <t>Koma Inu</t>
  </si>
  <si>
    <t>KOMA</t>
  </si>
  <si>
    <t>$0.01661</t>
  </si>
  <si>
    <t>2.18%</t>
  </si>
  <si>
    <t>$9.07M</t>
  </si>
  <si>
    <t>$1,959,456</t>
  </si>
  <si>
    <t>545.96M</t>
  </si>
  <si>
    <t>Pitbull</t>
  </si>
  <si>
    <t>PIT</t>
  </si>
  <si>
    <t>$0.092256</t>
  </si>
  <si>
    <t>1.42%</t>
  </si>
  <si>
    <t>$196,385</t>
  </si>
  <si>
    <t>40.19P</t>
  </si>
  <si>
    <t>Venus LTC</t>
  </si>
  <si>
    <t>vLTC</t>
  </si>
  <si>
    <t>$1.69</t>
  </si>
  <si>
    <t>$7.04M</t>
  </si>
  <si>
    <t>4.14M</t>
  </si>
  <si>
    <t>KONET</t>
  </si>
  <si>
    <t>$0.03494</t>
  </si>
  <si>
    <t>$3,410,421</t>
  </si>
  <si>
    <t>201.31M</t>
  </si>
  <si>
    <t>Creta World</t>
  </si>
  <si>
    <t>CRETA</t>
  </si>
  <si>
    <t>$0.004794</t>
  </si>
  <si>
    <t>$7.03M</t>
  </si>
  <si>
    <t>$191,443</t>
  </si>
  <si>
    <t>1.46B</t>
  </si>
  <si>
    <t>WazirX</t>
  </si>
  <si>
    <t>WRX</t>
  </si>
  <si>
    <t>$0.01839</t>
  </si>
  <si>
    <t>$7.02M</t>
  </si>
  <si>
    <t>$166,190</t>
  </si>
  <si>
    <t>381.85M</t>
  </si>
  <si>
    <t>Baanx</t>
  </si>
  <si>
    <t>BXX</t>
  </si>
  <si>
    <t>$0.03672</t>
  </si>
  <si>
    <t>$43,739</t>
  </si>
  <si>
    <t>191.31M</t>
  </si>
  <si>
    <t>SwarmNode.ai</t>
  </si>
  <si>
    <t>SNAI</t>
  </si>
  <si>
    <t>$0.007788</t>
  </si>
  <si>
    <t>$2,191,863</t>
  </si>
  <si>
    <t>902.46M</t>
  </si>
  <si>
    <t>Hathor</t>
  </si>
  <si>
    <t>HTR</t>
  </si>
  <si>
    <t>$0.01508</t>
  </si>
  <si>
    <t>0.70%</t>
  </si>
  <si>
    <t>$6.99M</t>
  </si>
  <si>
    <t>$495,661</t>
  </si>
  <si>
    <t>463.58M</t>
  </si>
  <si>
    <t>Venus DAI</t>
  </si>
  <si>
    <t>vDAI</t>
  </si>
  <si>
    <t>$0.02534</t>
  </si>
  <si>
    <t>$6.96M</t>
  </si>
  <si>
    <t>274.53M</t>
  </si>
  <si>
    <t>trac (Ordinals)</t>
  </si>
  <si>
    <t>TRAC</t>
  </si>
  <si>
    <t>$0.3309</t>
  </si>
  <si>
    <t>$6.95M</t>
  </si>
  <si>
    <t>$721,629</t>
  </si>
  <si>
    <t>21M</t>
  </si>
  <si>
    <t>AirSwap</t>
  </si>
  <si>
    <t>AST</t>
  </si>
  <si>
    <t>$0.03958</t>
  </si>
  <si>
    <t>1.97%</t>
  </si>
  <si>
    <t>$6.91M</t>
  </si>
  <si>
    <t>$2,431,321</t>
  </si>
  <si>
    <t>174.47M</t>
  </si>
  <si>
    <t>nubcat</t>
  </si>
  <si>
    <t>NUB</t>
  </si>
  <si>
    <t>$0.005521</t>
  </si>
  <si>
    <t>$5.25M</t>
  </si>
  <si>
    <t>$973,654</t>
  </si>
  <si>
    <t>950M</t>
  </si>
  <si>
    <t>CrossFi</t>
  </si>
  <si>
    <t>XFI</t>
  </si>
  <si>
    <t>$0.09003</t>
  </si>
  <si>
    <t>$5.24M</t>
  </si>
  <si>
    <t>$955,799</t>
  </si>
  <si>
    <t>58.23M</t>
  </si>
  <si>
    <t>Tron Bull</t>
  </si>
  <si>
    <t>BULL</t>
  </si>
  <si>
    <t>$0.005448</t>
  </si>
  <si>
    <t>$5.18M</t>
  </si>
  <si>
    <t>$1,056,108</t>
  </si>
  <si>
    <t>950.27M</t>
  </si>
  <si>
    <t>Openfabric AI</t>
  </si>
  <si>
    <t>OFN</t>
  </si>
  <si>
    <t>$0.02954</t>
  </si>
  <si>
    <t>$5.17M</t>
  </si>
  <si>
    <t>$153,889</t>
  </si>
  <si>
    <t>174.84M</t>
  </si>
  <si>
    <t>Electric Vehicle Zone</t>
  </si>
  <si>
    <t>EVZ</t>
  </si>
  <si>
    <t>$0.002286</t>
  </si>
  <si>
    <t>0.35%</t>
  </si>
  <si>
    <t>$5.16M</t>
  </si>
  <si>
    <t>$130,770</t>
  </si>
  <si>
    <t>2.25B</t>
  </si>
  <si>
    <t>Metahero</t>
  </si>
  <si>
    <t>HERO</t>
  </si>
  <si>
    <t>$0.001011</t>
  </si>
  <si>
    <t>0.20%</t>
  </si>
  <si>
    <t>$5.15M</t>
  </si>
  <si>
    <t>$432,080</t>
  </si>
  <si>
    <t>5.09B</t>
  </si>
  <si>
    <t>Inter Milan Fan Token</t>
  </si>
  <si>
    <t>INTER</t>
  </si>
  <si>
    <t>$0.5306</t>
  </si>
  <si>
    <t>$697,351</t>
  </si>
  <si>
    <t>9.7M</t>
  </si>
  <si>
    <t>Darkpino</t>
  </si>
  <si>
    <t>DPINO</t>
  </si>
  <si>
    <t>$0.005187</t>
  </si>
  <si>
    <t>0.37%</t>
  </si>
  <si>
    <t>$5.14M</t>
  </si>
  <si>
    <t>$17,403</t>
  </si>
  <si>
    <t>991.83M</t>
  </si>
  <si>
    <t>Velas</t>
  </si>
  <si>
    <t>VLX</t>
  </si>
  <si>
    <t>$0.001885</t>
  </si>
  <si>
    <t>$392,111</t>
  </si>
  <si>
    <t>2.72B</t>
  </si>
  <si>
    <t>Abelian</t>
  </si>
  <si>
    <t>ABEL</t>
  </si>
  <si>
    <t>$0.04980</t>
  </si>
  <si>
    <t>0.62%</t>
  </si>
  <si>
    <t>$5.11M</t>
  </si>
  <si>
    <t>$75,107</t>
  </si>
  <si>
    <t>102.56M</t>
  </si>
  <si>
    <t>Electra Protocol</t>
  </si>
  <si>
    <t>XEP</t>
  </si>
  <si>
    <t>$0.0002248</t>
  </si>
  <si>
    <t>$4.1M</t>
  </si>
  <si>
    <t>$193,524</t>
  </si>
  <si>
    <t>18.21B</t>
  </si>
  <si>
    <t>Kin</t>
  </si>
  <si>
    <t>KIN</t>
  </si>
  <si>
    <t>$0.051470</t>
  </si>
  <si>
    <t>4.64%</t>
  </si>
  <si>
    <t>$4.06M</t>
  </si>
  <si>
    <t>$168,650</t>
  </si>
  <si>
    <t>2.75T</t>
  </si>
  <si>
    <t>KiloEx</t>
  </si>
  <si>
    <t>KILO</t>
  </si>
  <si>
    <t>$0.01908</t>
  </si>
  <si>
    <t>$4.04M</t>
  </si>
  <si>
    <t>$4,760,489</t>
  </si>
  <si>
    <t>211.7M</t>
  </si>
  <si>
    <t>Privasea AI</t>
  </si>
  <si>
    <t>PRAI</t>
  </si>
  <si>
    <t>$0.01953</t>
  </si>
  <si>
    <t>$4.02M</t>
  </si>
  <si>
    <t>$4,951,893</t>
  </si>
  <si>
    <t>206.03M</t>
  </si>
  <si>
    <t>MAD</t>
  </si>
  <si>
    <t>$0.053982</t>
  </si>
  <si>
    <t>$3.98M</t>
  </si>
  <si>
    <t>$727,913</t>
  </si>
  <si>
    <t>999.97B</t>
  </si>
  <si>
    <t>Robonomics.network</t>
  </si>
  <si>
    <t>XRT</t>
  </si>
  <si>
    <t>$2.34</t>
  </si>
  <si>
    <t>$4M</t>
  </si>
  <si>
    <t>$49,144</t>
  </si>
  <si>
    <t>1.7M</t>
  </si>
  <si>
    <t>Alitas</t>
  </si>
  <si>
    <t>ALT</t>
  </si>
  <si>
    <t>$0.03321</t>
  </si>
  <si>
    <t>0.90%</t>
  </si>
  <si>
    <t>$3.99M</t>
  </si>
  <si>
    <t>$14,376</t>
  </si>
  <si>
    <t>120M</t>
  </si>
  <si>
    <t>Bytecoin</t>
  </si>
  <si>
    <t>BCN</t>
  </si>
  <si>
    <t>$0.00002164</t>
  </si>
  <si>
    <t>$658</t>
  </si>
  <si>
    <t>184.06B</t>
  </si>
  <si>
    <t>Morpheus.Network</t>
  </si>
  <si>
    <t>MNW</t>
  </si>
  <si>
    <t>$0.08283</t>
  </si>
  <si>
    <t>1.72%</t>
  </si>
  <si>
    <t>$3.97M</t>
  </si>
  <si>
    <t>$5,822</t>
  </si>
  <si>
    <t>47.89M</t>
  </si>
  <si>
    <t>WELF</t>
  </si>
  <si>
    <t>$0.5305</t>
  </si>
  <si>
    <t>0.68%</t>
  </si>
  <si>
    <t>$3.94M</t>
  </si>
  <si>
    <t>$85,411</t>
  </si>
  <si>
    <t>7.43M</t>
  </si>
  <si>
    <t>Cypherium</t>
  </si>
  <si>
    <t>CPH</t>
  </si>
  <si>
    <t>$0.008445</t>
  </si>
  <si>
    <t>$3.23M</t>
  </si>
  <si>
    <t>$2,100</t>
  </si>
  <si>
    <t>382.95M</t>
  </si>
  <si>
    <t>Dingocoin</t>
  </si>
  <si>
    <t>DINGO</t>
  </si>
  <si>
    <t>$0.00002837</t>
  </si>
  <si>
    <t>$157,680</t>
  </si>
  <si>
    <t>113.75B</t>
  </si>
  <si>
    <t>IBStoken</t>
  </si>
  <si>
    <t>IBS</t>
  </si>
  <si>
    <t>$0.0008030</t>
  </si>
  <si>
    <t>$72,433</t>
  </si>
  <si>
    <t>4.02B</t>
  </si>
  <si>
    <t>AIT Protocol</t>
  </si>
  <si>
    <t>AIT</t>
  </si>
  <si>
    <t>$0.01094</t>
  </si>
  <si>
    <t>1.18%</t>
  </si>
  <si>
    <t>$3.22M</t>
  </si>
  <si>
    <t>$117,948</t>
  </si>
  <si>
    <t>294.58M</t>
  </si>
  <si>
    <t>Bitcoin 2</t>
  </si>
  <si>
    <t>BTC2</t>
  </si>
  <si>
    <t>$0.1761</t>
  </si>
  <si>
    <t>3.34%</t>
  </si>
  <si>
    <t>$1,614</t>
  </si>
  <si>
    <t>18.34M</t>
  </si>
  <si>
    <t>OmniFlix Network</t>
  </si>
  <si>
    <t>FLIX</t>
  </si>
  <si>
    <t>$0.01286</t>
  </si>
  <si>
    <t>$1,659</t>
  </si>
  <si>
    <t>250.75M</t>
  </si>
  <si>
    <t>TRVL (Dtravel)</t>
  </si>
  <si>
    <t>TRVL</t>
  </si>
  <si>
    <t>$0.007706</t>
  </si>
  <si>
    <t>0.09%</t>
  </si>
  <si>
    <t>$3.21M</t>
  </si>
  <si>
    <t>$220,065</t>
  </si>
  <si>
    <t>416.64M</t>
  </si>
  <si>
    <t>DeBox</t>
  </si>
  <si>
    <t>BOX</t>
  </si>
  <si>
    <t>$0.01060</t>
  </si>
  <si>
    <t>$155,287</t>
  </si>
  <si>
    <t>302.73M</t>
  </si>
  <si>
    <t>Akita Inu</t>
  </si>
  <si>
    <t>AKITA</t>
  </si>
  <si>
    <t>$0.074697</t>
  </si>
  <si>
    <t>$3.2M</t>
  </si>
  <si>
    <t>$239,395</t>
  </si>
  <si>
    <t>68.07T</t>
  </si>
  <si>
    <t>Hive Intelligence</t>
  </si>
  <si>
    <t>HINT</t>
  </si>
  <si>
    <t>$0.006908</t>
  </si>
  <si>
    <t>$3.18M</t>
  </si>
  <si>
    <t>$977,333</t>
  </si>
  <si>
    <t>460.37M</t>
  </si>
  <si>
    <t>Sentio AI</t>
  </si>
  <si>
    <t>SEN</t>
  </si>
  <si>
    <t>$0.02632</t>
  </si>
  <si>
    <t>2.67%</t>
  </si>
  <si>
    <t>$2.58M</t>
  </si>
  <si>
    <t>$721,481</t>
  </si>
  <si>
    <t>98M</t>
  </si>
  <si>
    <t>Sylo</t>
  </si>
  <si>
    <t>SYLO</t>
  </si>
  <si>
    <t>$0.0004232</t>
  </si>
  <si>
    <t>0.97%</t>
  </si>
  <si>
    <t>$1,422,530</t>
  </si>
  <si>
    <t>6.08B</t>
  </si>
  <si>
    <t>PornRocket</t>
  </si>
  <si>
    <t>PORNROCKET</t>
  </si>
  <si>
    <t>$0.086727</t>
  </si>
  <si>
    <t>$2.57M</t>
  </si>
  <si>
    <t>382.55T</t>
  </si>
  <si>
    <t>FNCY</t>
  </si>
  <si>
    <t>$0.002296</t>
  </si>
  <si>
    <t>$107,281</t>
  </si>
  <si>
    <t>Hoge Finance</t>
  </si>
  <si>
    <t>HOGE</t>
  </si>
  <si>
    <t>$0.056380</t>
  </si>
  <si>
    <t>2.48%</t>
  </si>
  <si>
    <t>$2.51M</t>
  </si>
  <si>
    <t>$465</t>
  </si>
  <si>
    <t>393.4B</t>
  </si>
  <si>
    <t>Big Data Protocol</t>
  </si>
  <si>
    <t>BDP</t>
  </si>
  <si>
    <t>$0.04844</t>
  </si>
  <si>
    <t>$2.56M</t>
  </si>
  <si>
    <t>$174,927</t>
  </si>
  <si>
    <t>52.85M</t>
  </si>
  <si>
    <t>Byte</t>
  </si>
  <si>
    <t>BYTE</t>
  </si>
  <si>
    <t>$0.052624</t>
  </si>
  <si>
    <t>$2.53M</t>
  </si>
  <si>
    <t>$287</t>
  </si>
  <si>
    <t>964.46B</t>
  </si>
  <si>
    <t>Universe Boss Coin</t>
  </si>
  <si>
    <t>UBC</t>
  </si>
  <si>
    <t>$0.002527</t>
  </si>
  <si>
    <t>0.59%</t>
  </si>
  <si>
    <t>$274,603</t>
  </si>
  <si>
    <t>ADAMANT Messenger</t>
  </si>
  <si>
    <t>ADM</t>
  </si>
  <si>
    <t>$0.02283</t>
  </si>
  <si>
    <t>$2.52M</t>
  </si>
  <si>
    <t>$69,191</t>
  </si>
  <si>
    <t>110.37M</t>
  </si>
  <si>
    <t>CHADETTE</t>
  </si>
  <si>
    <t>$0.002602</t>
  </si>
  <si>
    <t>0.80%</t>
  </si>
  <si>
    <t>$34,103</t>
  </si>
  <si>
    <t>967.15M</t>
  </si>
  <si>
    <t>NULS</t>
  </si>
  <si>
    <t>$0.01772</t>
  </si>
  <si>
    <t>0.81%</t>
  </si>
  <si>
    <t>$2M</t>
  </si>
  <si>
    <t>$1,983,713</t>
  </si>
  <si>
    <t>112.88M</t>
  </si>
  <si>
    <t>Quq</t>
  </si>
  <si>
    <t>QUQ</t>
  </si>
  <si>
    <t>$0.002003</t>
  </si>
  <si>
    <t>$944,920</t>
  </si>
  <si>
    <t>RigoBlock</t>
  </si>
  <si>
    <t>GRG</t>
  </si>
  <si>
    <t>$0.7384</t>
  </si>
  <si>
    <t>$1.99M</t>
  </si>
  <si>
    <t>2.7M</t>
  </si>
  <si>
    <t>LEGIT</t>
  </si>
  <si>
    <t>$0.002032</t>
  </si>
  <si>
    <t>1.56%</t>
  </si>
  <si>
    <t>$25,840</t>
  </si>
  <si>
    <t>978.95M</t>
  </si>
  <si>
    <t>Super Zero Protocol</t>
  </si>
  <si>
    <t>SERO</t>
  </si>
  <si>
    <t>$0.004565</t>
  </si>
  <si>
    <t>$290,910</t>
  </si>
  <si>
    <t>436.07M</t>
  </si>
  <si>
    <t>Letit</t>
  </si>
  <si>
    <t>LETIT</t>
  </si>
  <si>
    <t>$0.03101</t>
  </si>
  <si>
    <t>1.21%</t>
  </si>
  <si>
    <t>$1,872</t>
  </si>
  <si>
    <t>63.99M</t>
  </si>
  <si>
    <t>GoChain</t>
  </si>
  <si>
    <t>GO</t>
  </si>
  <si>
    <t>$0.001507</t>
  </si>
  <si>
    <t>$1.98M</t>
  </si>
  <si>
    <t>$117,957</t>
  </si>
  <si>
    <t>1.31B</t>
  </si>
  <si>
    <t>BlackCardCoin</t>
  </si>
  <si>
    <t>BCCOIN</t>
  </si>
  <si>
    <t>$0.1976</t>
  </si>
  <si>
    <t>1.20%</t>
  </si>
  <si>
    <t>$858,809</t>
  </si>
  <si>
    <t>10M</t>
  </si>
  <si>
    <t>Habibi</t>
  </si>
  <si>
    <t>HABIBI</t>
  </si>
  <si>
    <t>$0.002419</t>
  </si>
  <si>
    <t>$1.97M</t>
  </si>
  <si>
    <t>$62,197</t>
  </si>
  <si>
    <t>814.34M</t>
  </si>
  <si>
    <t>Striker League</t>
  </si>
  <si>
    <t>MBS</t>
  </si>
  <si>
    <t>$0.003149</t>
  </si>
  <si>
    <t>$109,870</t>
  </si>
  <si>
    <t>625.43M</t>
  </si>
  <si>
    <t>Ctrl Wallet</t>
  </si>
  <si>
    <t>CTRL</t>
  </si>
  <si>
    <t>$0.007828</t>
  </si>
  <si>
    <t>18.79%</t>
  </si>
  <si>
    <t>$1.6M</t>
  </si>
  <si>
    <t>$106,039</t>
  </si>
  <si>
    <t>203.92M</t>
  </si>
  <si>
    <t>Etherisc DIP Token</t>
  </si>
  <si>
    <t>DIP</t>
  </si>
  <si>
    <t>$0.006649</t>
  </si>
  <si>
    <t>$1.59M</t>
  </si>
  <si>
    <t>$36</t>
  </si>
  <si>
    <t>239.74M</t>
  </si>
  <si>
    <t>Rubic</t>
  </si>
  <si>
    <t>RBC</t>
  </si>
  <si>
    <t>$0.009631</t>
  </si>
  <si>
    <t>0.28%</t>
  </si>
  <si>
    <t>$201,257</t>
  </si>
  <si>
    <t>165.28M</t>
  </si>
  <si>
    <t>BizAuto</t>
  </si>
  <si>
    <t>BIZA</t>
  </si>
  <si>
    <t>$0.0005920</t>
  </si>
  <si>
    <t>$1,660,204</t>
  </si>
  <si>
    <t>2.67B</t>
  </si>
  <si>
    <t>BIGFACTS</t>
  </si>
  <si>
    <t>$0.003410</t>
  </si>
  <si>
    <t>$1.58M</t>
  </si>
  <si>
    <t>$115,234</t>
  </si>
  <si>
    <t>462.04M</t>
  </si>
  <si>
    <t>Didi Bam Bam</t>
  </si>
  <si>
    <t>DDBAM</t>
  </si>
  <si>
    <t>$0.07514</t>
  </si>
  <si>
    <t>$119,741</t>
  </si>
  <si>
    <t>Rebel Cars</t>
  </si>
  <si>
    <t>RC</t>
  </si>
  <si>
    <t>$0.007633</t>
  </si>
  <si>
    <t>1.10%</t>
  </si>
  <si>
    <t>$43,846</t>
  </si>
  <si>
    <t>206.35M</t>
  </si>
  <si>
    <t>Vulcan Forged (LAVA)</t>
  </si>
  <si>
    <t>LAVA</t>
  </si>
  <si>
    <t>$0.006391</t>
  </si>
  <si>
    <t>$1.57M</t>
  </si>
  <si>
    <t>245.89M</t>
  </si>
  <si>
    <t>DeHub</t>
  </si>
  <si>
    <t>DHB</t>
  </si>
  <si>
    <t>$0.0003842</t>
  </si>
  <si>
    <t>4.07B</t>
  </si>
  <si>
    <t>Mubarakah</t>
  </si>
  <si>
    <t>MUBARAKAH</t>
  </si>
  <si>
    <t>$0.001565</t>
  </si>
  <si>
    <t>$606,685</t>
  </si>
  <si>
    <t>TOWER</t>
  </si>
  <si>
    <t>$0.0004246</t>
  </si>
  <si>
    <t>$1.24M</t>
  </si>
  <si>
    <t>$86,086</t>
  </si>
  <si>
    <t>2.91B</t>
  </si>
  <si>
    <t>Octokn</t>
  </si>
  <si>
    <t>OTK</t>
  </si>
  <si>
    <t>$0.004085</t>
  </si>
  <si>
    <t>$11,736</t>
  </si>
  <si>
    <t>303.13M</t>
  </si>
  <si>
    <t>StarSlax</t>
  </si>
  <si>
    <t>SSLX</t>
  </si>
  <si>
    <t>$0.0004946</t>
  </si>
  <si>
    <t>0.43%</t>
  </si>
  <si>
    <t>$150,756</t>
  </si>
  <si>
    <t>2.5B</t>
  </si>
  <si>
    <t>Ertha</t>
  </si>
  <si>
    <t>ERTHA</t>
  </si>
  <si>
    <t>$0.0006265</t>
  </si>
  <si>
    <t>0.19%</t>
  </si>
  <si>
    <t>$1,332,029</t>
  </si>
  <si>
    <t>1.97B</t>
  </si>
  <si>
    <t>SafeCoin</t>
  </si>
  <si>
    <t>SAFE</t>
  </si>
  <si>
    <t>$0.04456</t>
  </si>
  <si>
    <t>$18</t>
  </si>
  <si>
    <t>27.73M</t>
  </si>
  <si>
    <t>Dolos The Bully</t>
  </si>
  <si>
    <t>BULLY</t>
  </si>
  <si>
    <t>$0.001286</t>
  </si>
  <si>
    <t>$395,470</t>
  </si>
  <si>
    <t>960.55M</t>
  </si>
  <si>
    <t>LanLan Cat</t>
  </si>
  <si>
    <t>LANLAN</t>
  </si>
  <si>
    <t>$0.0001380</t>
  </si>
  <si>
    <t>11.77%</t>
  </si>
  <si>
    <t>$1.23M</t>
  </si>
  <si>
    <t>$1,609,979</t>
  </si>
  <si>
    <t>Torum</t>
  </si>
  <si>
    <t>XTM</t>
  </si>
  <si>
    <t>$0.006238</t>
  </si>
  <si>
    <t>2.94%</t>
  </si>
  <si>
    <t>$1.21M</t>
  </si>
  <si>
    <t>$32,118</t>
  </si>
  <si>
    <t>194.09M</t>
  </si>
  <si>
    <t>SUNCAT</t>
  </si>
  <si>
    <t>$0.001220</t>
  </si>
  <si>
    <t>0.79%</t>
  </si>
  <si>
    <t>$1.22M</t>
  </si>
  <si>
    <t>$2,223,596</t>
  </si>
  <si>
    <t>HOME3</t>
  </si>
  <si>
    <t>HTS</t>
  </si>
  <si>
    <t>$0.01532</t>
  </si>
  <si>
    <t>2.06%</t>
  </si>
  <si>
    <t>$1,855</t>
  </si>
  <si>
    <t>79.5M</t>
  </si>
  <si>
    <t>Crypto Volume &amp; Sentiment Dashboard</t>
  </si>
  <si>
    <t>Coins starting with a vowel, or B, C, D  •  Visible 9 AM–5 PM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</si>
</sst>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5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666666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99"/>
        <bgColor rgb="FFF9F9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3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10" fontId="4" fillId="0" borderId="1" xfId="0" applyNumberFormat="1" applyFont="1" applyBorder="1"/>
    <xf numFmtId="0" fontId="4" fillId="0" borderId="1" xfId="0" applyFont="1" applyBorder="1"/>
    <xf numFmtId="16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Coins — 24h Volume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Data!$S$1</c:f>
              <c:strCache>
                <c:ptCount val="1"/>
                <c:pt idx="0">
                  <c:v>24h Volume (USD)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Data!$R$2:$R$11</c:f>
              <c:strCache>
                <c:ptCount val="10"/>
                <c:pt idx="0">
                  <c:v>Bitcoin</c:v>
                </c:pt>
                <c:pt idx="1">
                  <c:v>Ethereum</c:v>
                </c:pt>
                <c:pt idx="2">
                  <c:v>USDC</c:v>
                </c:pt>
                <c:pt idx="3">
                  <c:v>BNB</c:v>
                </c:pt>
                <c:pt idx="4">
                  <c:v>Dogecoin</c:v>
                </c:pt>
                <c:pt idx="5">
                  <c:v>Cardano</c:v>
                </c:pt>
                <c:pt idx="6">
                  <c:v>Orbiter Finance</c:v>
                </c:pt>
                <c:pt idx="7">
                  <c:v>Usual</c:v>
                </c:pt>
                <c:pt idx="8">
                  <c:v>Decentraland</c:v>
                </c:pt>
                <c:pt idx="9">
                  <c:v>Eurite</c:v>
                </c:pt>
              </c:strCache>
            </c:strRef>
          </c:cat>
          <c:val>
            <c:numRef>
              <c:f>Data!$S$2:$S$11</c:f>
              <c:numCache>
                <c:formatCode>\$#,##0</c:formatCode>
                <c:ptCount val="10"/>
                <c:pt idx="0">
                  <c:v>43170391288</c:v>
                </c:pt>
                <c:pt idx="1">
                  <c:v>14942260356</c:v>
                </c:pt>
                <c:pt idx="2">
                  <c:v>8208315257</c:v>
                </c:pt>
                <c:pt idx="3">
                  <c:v>1497928447</c:v>
                </c:pt>
                <c:pt idx="4">
                  <c:v>781433558</c:v>
                </c:pt>
                <c:pt idx="5">
                  <c:v>539447597</c:v>
                </c:pt>
                <c:pt idx="6">
                  <c:v>40860347</c:v>
                </c:pt>
                <c:pt idx="7">
                  <c:v>25758134</c:v>
                </c:pt>
                <c:pt idx="8">
                  <c:v>25685731</c:v>
                </c:pt>
                <c:pt idx="9">
                  <c:v>22680605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B-4EE8-8919-D3F9C88F6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613792"/>
        <c:axId val="17036497"/>
      </c:barChart>
      <c:catAx>
        <c:axId val="9761379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24h Volume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036497"/>
        <c:crosses val="autoZero"/>
        <c:auto val="1"/>
        <c:lblAlgn val="ctr"/>
        <c:lblOffset val="100"/>
        <c:noMultiLvlLbl val="0"/>
      </c:catAx>
      <c:valAx>
        <c:axId val="1703649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6137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Coins — Market Cap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Data!$W$1</c:f>
              <c:strCache>
                <c:ptCount val="1"/>
                <c:pt idx="0">
                  <c:v>Market Cap (USD)</c:v>
                </c:pt>
              </c:strCache>
            </c:strRef>
          </c:tx>
          <c:spPr>
            <a:solidFill>
              <a:srgbClr val="54823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Data!$V$2:$V$11</c:f>
              <c:strCache>
                <c:ptCount val="10"/>
                <c:pt idx="0">
                  <c:v>Bitcoin</c:v>
                </c:pt>
                <c:pt idx="1">
                  <c:v>Ethereum</c:v>
                </c:pt>
                <c:pt idx="2">
                  <c:v>BNB</c:v>
                </c:pt>
                <c:pt idx="3">
                  <c:v>USDC</c:v>
                </c:pt>
                <c:pt idx="4">
                  <c:v>Dogecoin</c:v>
                </c:pt>
                <c:pt idx="5">
                  <c:v>Cardano</c:v>
                </c:pt>
                <c:pt idx="6">
                  <c:v>Usual USD</c:v>
                </c:pt>
                <c:pt idx="7">
                  <c:v>Ondo US Dollar Yield</c:v>
                </c:pt>
                <c:pt idx="8">
                  <c:v>Core</c:v>
                </c:pt>
                <c:pt idx="9">
                  <c:v>Decentraland</c:v>
                </c:pt>
              </c:strCache>
            </c:strRef>
          </c:cat>
          <c:val>
            <c:numRef>
              <c:f>Data!$W$2:$W$11</c:f>
              <c:numCache>
                <c:formatCode>\$#,##0</c:formatCode>
                <c:ptCount val="10"/>
                <c:pt idx="0">
                  <c:v>2069999999999.9998</c:v>
                </c:pt>
                <c:pt idx="1">
                  <c:v>299510000000</c:v>
                </c:pt>
                <c:pt idx="2">
                  <c:v>90840000000</c:v>
                </c:pt>
                <c:pt idx="3">
                  <c:v>61230000000</c:v>
                </c:pt>
                <c:pt idx="4">
                  <c:v>24770000000</c:v>
                </c:pt>
                <c:pt idx="5">
                  <c:v>20540000000</c:v>
                </c:pt>
                <c:pt idx="6">
                  <c:v>652010000</c:v>
                </c:pt>
                <c:pt idx="7">
                  <c:v>635980000</c:v>
                </c:pt>
                <c:pt idx="8">
                  <c:v>546450000</c:v>
                </c:pt>
                <c:pt idx="9">
                  <c:v>493580000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3-4F4D-94DA-CCC87904D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928886"/>
        <c:axId val="79486453"/>
      </c:barChart>
      <c:catAx>
        <c:axId val="7392888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Market Cap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486453"/>
        <c:crosses val="autoZero"/>
        <c:auto val="1"/>
        <c:lblAlgn val="ctr"/>
        <c:lblOffset val="100"/>
        <c:noMultiLvlLbl val="0"/>
      </c:catAx>
      <c:valAx>
        <c:axId val="7948645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9288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Sentiment Snapshot — 1h Price Change (Top 10 by Volume)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Data!$Y$1</c:f>
              <c:strCache>
                <c:ptCount val="1"/>
                <c:pt idx="0">
                  <c:v>1h Change (%)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Data!$R$2:$R$11</c:f>
              <c:strCache>
                <c:ptCount val="10"/>
                <c:pt idx="0">
                  <c:v>Bitcoin</c:v>
                </c:pt>
                <c:pt idx="1">
                  <c:v>Ethereum</c:v>
                </c:pt>
                <c:pt idx="2">
                  <c:v>USDC</c:v>
                </c:pt>
                <c:pt idx="3">
                  <c:v>BNB</c:v>
                </c:pt>
                <c:pt idx="4">
                  <c:v>Dogecoin</c:v>
                </c:pt>
                <c:pt idx="5">
                  <c:v>Cardano</c:v>
                </c:pt>
                <c:pt idx="6">
                  <c:v>Orbiter Finance</c:v>
                </c:pt>
                <c:pt idx="7">
                  <c:v>Usual</c:v>
                </c:pt>
                <c:pt idx="8">
                  <c:v>Decentraland</c:v>
                </c:pt>
                <c:pt idx="9">
                  <c:v>Eurite</c:v>
                </c:pt>
              </c:strCache>
            </c:strRef>
          </c:cat>
          <c:val>
            <c:numRef>
              <c:f>Data!$Y$2:$Y$11</c:f>
              <c:numCache>
                <c:formatCode>0.00%</c:formatCode>
                <c:ptCount val="10"/>
                <c:pt idx="0">
                  <c:v>2.3999999999999998E-3</c:v>
                </c:pt>
                <c:pt idx="1">
                  <c:v>7.6E-3</c:v>
                </c:pt>
                <c:pt idx="2">
                  <c:v>2.9999999999999997E-4</c:v>
                </c:pt>
                <c:pt idx="3">
                  <c:v>1E-3</c:v>
                </c:pt>
                <c:pt idx="4">
                  <c:v>9.4000000000000004E-3</c:v>
                </c:pt>
                <c:pt idx="5">
                  <c:v>9.5999999999999992E-3</c:v>
                </c:pt>
                <c:pt idx="6">
                  <c:v>4.2700000000000002E-2</c:v>
                </c:pt>
                <c:pt idx="7">
                  <c:v>1.14E-2</c:v>
                </c:pt>
                <c:pt idx="8">
                  <c:v>1.37E-2</c:v>
                </c:pt>
                <c:pt idx="9">
                  <c:v>6.9999999999999999E-4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2-42D8-9F8C-4DAE5DC08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160438"/>
        <c:axId val="38182430"/>
      </c:barChart>
      <c:catAx>
        <c:axId val="931604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182430"/>
        <c:crosses val="autoZero"/>
        <c:auto val="1"/>
        <c:lblAlgn val="ctr"/>
        <c:lblOffset val="100"/>
        <c:noMultiLvlLbl val="0"/>
      </c:catAx>
      <c:valAx>
        <c:axId val="381824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1h Change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1604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Volume Tier Mix — Qualifying Coins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Data!$AB$1</c:f>
              <c:strCache>
                <c:ptCount val="1"/>
                <c:pt idx="0">
                  <c:v>Count of Coins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FF3A-4A75-9B50-2F802D968B4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FF3A-4A75-9B50-2F802D968B48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FF3A-4A75-9B50-2F802D968B48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F3A-4A75-9B50-2F802D968B48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F3A-4A75-9B50-2F802D968B48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FF3A-4A75-9B50-2F802D968B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Data!$AA$2:$AA$4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Data!$AB$2:$AB$4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3A-4A75-9B50-2F802D968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131040</xdr:rowOff>
    </xdr:from>
    <xdr:to>
      <xdr:col>13</xdr:col>
      <xdr:colOff>581760</xdr:colOff>
      <xdr:row>24</xdr:row>
      <xdr:rowOff>90000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3</xdr:row>
      <xdr:rowOff>131040</xdr:rowOff>
    </xdr:from>
    <xdr:to>
      <xdr:col>25</xdr:col>
      <xdr:colOff>581400</xdr:colOff>
      <xdr:row>24</xdr:row>
      <xdr:rowOff>90000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130680</xdr:rowOff>
    </xdr:from>
    <xdr:to>
      <xdr:col>13</xdr:col>
      <xdr:colOff>581760</xdr:colOff>
      <xdr:row>46</xdr:row>
      <xdr:rowOff>90000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25</xdr:row>
      <xdr:rowOff>130680</xdr:rowOff>
    </xdr:from>
    <xdr:to>
      <xdr:col>25</xdr:col>
      <xdr:colOff>581400</xdr:colOff>
      <xdr:row>46</xdr:row>
      <xdr:rowOff>90000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yptoData" displayName="CryptoData" ref="A1:O201" totalsRowShown="0">
  <autoFilter ref="A1:O201" xr:uid="{00000000-0009-0000-0100-000001000000}"/>
  <tableColumns count="15">
    <tableColumn id="1" xr3:uid="{00000000-0010-0000-0000-000001000000}" name="Coin Name"/>
    <tableColumn id="2" xr3:uid="{00000000-0010-0000-0000-000002000000}" name="Symbol"/>
    <tableColumn id="3" xr3:uid="{00000000-0010-0000-0000-000003000000}" name="Price (USD)"/>
    <tableColumn id="4" xr3:uid="{00000000-0010-0000-0000-000004000000}" name="1h Change (%)"/>
    <tableColumn id="5" xr3:uid="{00000000-0010-0000-0000-000005000000}" name="Market Cap"/>
    <tableColumn id="6" xr3:uid="{00000000-0010-0000-0000-000006000000}" name="Volume (24h) USD"/>
    <tableColumn id="7" xr3:uid="{00000000-0010-0000-0000-000007000000}" name="Circulating Supply"/>
    <tableColumn id="8" xr3:uid="{00000000-0010-0000-0000-000008000000}" name="Volume (numeric)"/>
    <tableColumn id="9" xr3:uid="{00000000-0010-0000-0000-000009000000}" name="Qualifies (Vowel/B/C/D)"/>
    <tableColumn id="10" xr3:uid="{00000000-0010-0000-0000-00000A000000}" name="Rank by Volume"/>
    <tableColumn id="11" xr3:uid="{00000000-0010-0000-0000-00000B000000}" name="Market Cap (numeric)"/>
    <tableColumn id="12" xr3:uid="{00000000-0010-0000-0000-00000C000000}" name="Rank by Market Cap"/>
    <tableColumn id="13" xr3:uid="{00000000-0010-0000-0000-00000D000000}" name="1h Change (numeric)"/>
    <tableColumn id="14" xr3:uid="{00000000-0010-0000-0000-00000E000000}" name="Sentiment"/>
    <tableColumn id="15" xr3:uid="{00000000-0010-0000-0000-00000F000000}" name="Volume Ti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1"/>
  <sheetViews>
    <sheetView tabSelected="1" zoomScaleNormal="100" workbookViewId="0">
      <pane ySplit="1" topLeftCell="A2" activePane="bottomLeft" state="frozen"/>
      <selection pane="bottomLeft" activeCell="W4" sqref="W4"/>
    </sheetView>
  </sheetViews>
  <sheetFormatPr defaultColWidth="8.6640625" defaultRowHeight="14.4" x14ac:dyDescent="0.3"/>
  <cols>
    <col min="1" max="1" width="22" customWidth="1"/>
    <col min="2" max="2" width="10" customWidth="1"/>
    <col min="3" max="3" width="13" customWidth="1"/>
    <col min="4" max="4" width="11" customWidth="1"/>
    <col min="5" max="5" width="12" customWidth="1"/>
    <col min="6" max="6" width="17" customWidth="1"/>
    <col min="7" max="8" width="15" customWidth="1"/>
    <col min="9" max="9" width="12" customWidth="1"/>
    <col min="10" max="10" width="11" customWidth="1"/>
    <col min="11" max="11" width="15" customWidth="1"/>
    <col min="12" max="12" width="11" customWidth="1"/>
    <col min="13" max="13" width="12" customWidth="1"/>
    <col min="14" max="15" width="11" customWidth="1"/>
    <col min="17" max="17" width="5.88671875" bestFit="1" customWidth="1"/>
    <col min="18" max="18" width="13.77734375" bestFit="1" customWidth="1"/>
    <col min="19" max="19" width="18.88671875" bestFit="1" customWidth="1"/>
    <col min="22" max="22" width="18.33203125" bestFit="1" customWidth="1"/>
    <col min="23" max="23" width="18.21875" bestFit="1" customWidth="1"/>
    <col min="25" max="25" width="15.21875" bestFit="1" customWidth="1"/>
    <col min="27" max="27" width="12.88671875" bestFit="1" customWidth="1"/>
    <col min="28" max="28" width="15.44140625" bestFit="1" customWidth="1"/>
  </cols>
  <sheetData>
    <row r="1" spans="1:28" ht="41.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Q1" s="4" t="s">
        <v>15</v>
      </c>
      <c r="R1" s="4" t="s">
        <v>0</v>
      </c>
      <c r="S1" s="4" t="s">
        <v>16</v>
      </c>
      <c r="U1" s="4" t="s">
        <v>15</v>
      </c>
      <c r="V1" s="4" t="s">
        <v>0</v>
      </c>
      <c r="W1" s="4" t="s">
        <v>17</v>
      </c>
      <c r="Y1" s="4" t="s">
        <v>3</v>
      </c>
      <c r="AA1" s="4" t="s">
        <v>14</v>
      </c>
      <c r="AB1" s="4" t="s">
        <v>18</v>
      </c>
    </row>
    <row r="2" spans="1:28" x14ac:dyDescent="0.3">
      <c r="A2" s="5" t="s">
        <v>19</v>
      </c>
      <c r="B2" s="5" t="s">
        <v>20</v>
      </c>
      <c r="C2" s="5" t="s">
        <v>21</v>
      </c>
      <c r="D2" s="5" t="s">
        <v>22</v>
      </c>
      <c r="E2" s="5" t="s">
        <v>23</v>
      </c>
      <c r="F2" s="5" t="s">
        <v>24</v>
      </c>
      <c r="G2" s="5" t="s">
        <v>25</v>
      </c>
      <c r="H2" s="6">
        <f t="shared" ref="H2:H33" si="0">IFERROR(VALUE(SUBSTITUTE(SUBSTITUTE(F2,"$",""),",","")),0)</f>
        <v>43170391288</v>
      </c>
      <c r="I2" s="7" t="str">
        <f t="shared" ref="I2:I33" si="1">IF(OR(UPPER(LEFT(A2,1))="A",UPPER(LEFT(A2,1))="E",UPPER(LEFT(A2,1))="I",UPPER(LEFT(A2,1))="O",UPPER(LEFT(A2,1))="U",UPPER(LEFT(A2,1))="B",UPPER(LEFT(A2,1))="C",UPPER(LEFT(A2,1))="D"),"Yes","No")</f>
        <v>Yes</v>
      </c>
      <c r="J2" s="7">
        <f t="shared" ref="J2:J33" si="2">IF(I2="Yes",SUMPRODUCT(($I$2:$I$201="Yes")*($H$2:$H$201&gt;H2))+1,"")</f>
        <v>1</v>
      </c>
      <c r="K2" s="6">
        <f t="shared" ref="K2:K33" si="3">IFERROR(IF(RIGHT(E2,1)="T",VALUE(SUBSTITUTE(SUBSTITUTE(LEFT(E2,LEN(E2)-1),"$",""),",",""))*1000000000000,IF(RIGHT(E2,1)="B",VALUE(SUBSTITUTE(SUBSTITUTE(LEFT(E2,LEN(E2)-1),"$",""),",",""))*1000000000,IF(RIGHT(E2,1)="M",VALUE(SUBSTITUTE(SUBSTITUTE(LEFT(E2,LEN(E2)-1),"$",""),",",""))*1000000,VALUE(SUBSTITUTE(SUBSTITUTE(E2,"$",""),",",""))))),0)</f>
        <v>2069999999999.9998</v>
      </c>
      <c r="L2" s="7">
        <f t="shared" ref="L2:L33" si="4">IF(I2="Yes",SUMPRODUCT(($I$2:$I$201="Yes")*($K$2:$K$201&gt;K2))+1,"")</f>
        <v>1</v>
      </c>
      <c r="M2" s="8">
        <f t="shared" ref="M2:M33" si="5">IFERROR(VALUE(D2),0)</f>
        <v>2.3999999999999998E-3</v>
      </c>
      <c r="N2" s="7" t="str">
        <f t="shared" ref="N2:N33" si="6">IF(M2&gt;0,"Positive",IF(M2&lt;0,"Negative","Flat"))</f>
        <v>Positive</v>
      </c>
      <c r="O2" s="7" t="str">
        <f t="shared" ref="O2:O33" si="7">IF(H2&gt;=1000000000,"High",IF(H2&gt;=10000000,"Medium","Low"))</f>
        <v>High</v>
      </c>
      <c r="Q2" s="7">
        <v>1</v>
      </c>
      <c r="R2" s="9" t="str">
        <f t="shared" ref="R2:R11" si="8">IFERROR(INDEX($A$2:$A$201,MATCH(Q2,$J$2:$J$201,0)),"")</f>
        <v>Bitcoin</v>
      </c>
      <c r="S2" s="10">
        <f t="shared" ref="S2:S11" si="9">IFERROR(INDEX($H$2:$H$201,MATCH(Q2,$J$2:$J$201,0)),"")</f>
        <v>43170391288</v>
      </c>
      <c r="U2" s="7">
        <v>1</v>
      </c>
      <c r="V2" s="9" t="str">
        <f t="shared" ref="V2:V11" si="10">IFERROR(INDEX($A$2:$A$201,MATCH(U2,$L$2:$L$201,0)),"")</f>
        <v>Bitcoin</v>
      </c>
      <c r="W2" s="10">
        <f t="shared" ref="W2:W11" si="11">IFERROR(INDEX($K$2:$K$201,MATCH(U2,$L$2:$L$201,0)),"")</f>
        <v>2069999999999.9998</v>
      </c>
      <c r="Y2" s="8">
        <f t="shared" ref="Y2:Y11" si="12">IFERROR(INDEX($M$2:$M$201,MATCH(R2,$A$2:$A$201,0)),"")</f>
        <v>2.3999999999999998E-3</v>
      </c>
      <c r="AA2" s="9" t="s">
        <v>26</v>
      </c>
      <c r="AB2" s="7">
        <f>COUNTIFS($I$2:$I$201,"Yes",$O$2:$O$201,"High")</f>
        <v>4</v>
      </c>
    </row>
    <row r="3" spans="1:28" x14ac:dyDescent="0.3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  <c r="G3" s="5" t="s">
        <v>33</v>
      </c>
      <c r="H3" s="6">
        <f t="shared" si="0"/>
        <v>14942260356</v>
      </c>
      <c r="I3" s="7" t="str">
        <f t="shared" si="1"/>
        <v>Yes</v>
      </c>
      <c r="J3" s="7">
        <f t="shared" si="2"/>
        <v>2</v>
      </c>
      <c r="K3" s="6">
        <f t="shared" si="3"/>
        <v>299510000000</v>
      </c>
      <c r="L3" s="7">
        <f t="shared" si="4"/>
        <v>2</v>
      </c>
      <c r="M3" s="8">
        <f t="shared" si="5"/>
        <v>7.6E-3</v>
      </c>
      <c r="N3" s="7" t="str">
        <f t="shared" si="6"/>
        <v>Positive</v>
      </c>
      <c r="O3" s="7" t="str">
        <f t="shared" si="7"/>
        <v>High</v>
      </c>
      <c r="Q3" s="7">
        <v>2</v>
      </c>
      <c r="R3" s="9" t="str">
        <f t="shared" si="8"/>
        <v>Ethereum</v>
      </c>
      <c r="S3" s="10">
        <f t="shared" si="9"/>
        <v>14942260356</v>
      </c>
      <c r="U3" s="7">
        <v>2</v>
      </c>
      <c r="V3" s="9" t="str">
        <f t="shared" si="10"/>
        <v>Ethereum</v>
      </c>
      <c r="W3" s="10">
        <f t="shared" si="11"/>
        <v>299510000000</v>
      </c>
      <c r="Y3" s="8">
        <f t="shared" si="12"/>
        <v>7.6E-3</v>
      </c>
      <c r="AA3" s="9" t="s">
        <v>34</v>
      </c>
      <c r="AB3" s="7">
        <f>COUNTIFS($I$2:$I$201,"Yes",$O$2:$O$201,"Medium")</f>
        <v>8</v>
      </c>
    </row>
    <row r="4" spans="1:28" x14ac:dyDescent="0.3">
      <c r="A4" s="5" t="s">
        <v>35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41</v>
      </c>
      <c r="H4" s="6">
        <f t="shared" si="0"/>
        <v>60772601456</v>
      </c>
      <c r="I4" s="7" t="str">
        <f t="shared" si="1"/>
        <v>No</v>
      </c>
      <c r="J4" s="7" t="str">
        <f t="shared" si="2"/>
        <v/>
      </c>
      <c r="K4" s="6">
        <f t="shared" si="3"/>
        <v>155950000000</v>
      </c>
      <c r="L4" s="7" t="str">
        <f t="shared" si="4"/>
        <v/>
      </c>
      <c r="M4" s="8">
        <f t="shared" si="5"/>
        <v>4.0000000000000002E-4</v>
      </c>
      <c r="N4" s="7" t="str">
        <f t="shared" si="6"/>
        <v>Positive</v>
      </c>
      <c r="O4" s="7" t="str">
        <f t="shared" si="7"/>
        <v>High</v>
      </c>
      <c r="Q4" s="7">
        <v>3</v>
      </c>
      <c r="R4" s="9" t="str">
        <f t="shared" si="8"/>
        <v>USDC</v>
      </c>
      <c r="S4" s="10">
        <f t="shared" si="9"/>
        <v>8208315257</v>
      </c>
      <c r="U4" s="7">
        <v>3</v>
      </c>
      <c r="V4" s="9" t="str">
        <f t="shared" si="10"/>
        <v>BNB</v>
      </c>
      <c r="W4" s="10">
        <f t="shared" si="11"/>
        <v>90840000000</v>
      </c>
      <c r="Y4" s="8">
        <f t="shared" si="12"/>
        <v>2.9999999999999997E-4</v>
      </c>
      <c r="AA4" s="9" t="s">
        <v>42</v>
      </c>
      <c r="AB4" s="7">
        <f>COUNTIFS($I$2:$I$201,"Yes",$O$2:$O$201,"Low")</f>
        <v>74</v>
      </c>
    </row>
    <row r="5" spans="1:28" x14ac:dyDescent="0.3">
      <c r="A5" s="5" t="s">
        <v>43</v>
      </c>
      <c r="B5" s="5" t="s">
        <v>43</v>
      </c>
      <c r="C5" s="5" t="s">
        <v>44</v>
      </c>
      <c r="D5" s="5" t="s">
        <v>45</v>
      </c>
      <c r="E5" s="5" t="s">
        <v>46</v>
      </c>
      <c r="F5" s="5" t="s">
        <v>47</v>
      </c>
      <c r="G5" s="5" t="s">
        <v>48</v>
      </c>
      <c r="H5" s="6">
        <f t="shared" si="0"/>
        <v>2046333328</v>
      </c>
      <c r="I5" s="7" t="str">
        <f t="shared" si="1"/>
        <v>No</v>
      </c>
      <c r="J5" s="7" t="str">
        <f t="shared" si="2"/>
        <v/>
      </c>
      <c r="K5" s="6">
        <f t="shared" si="3"/>
        <v>125420000000</v>
      </c>
      <c r="L5" s="7" t="str">
        <f t="shared" si="4"/>
        <v/>
      </c>
      <c r="M5" s="8">
        <f t="shared" si="5"/>
        <v>5.4999999999999997E-3</v>
      </c>
      <c r="N5" s="7" t="str">
        <f t="shared" si="6"/>
        <v>Positive</v>
      </c>
      <c r="O5" s="7" t="str">
        <f t="shared" si="7"/>
        <v>High</v>
      </c>
      <c r="Q5" s="7">
        <v>4</v>
      </c>
      <c r="R5" s="9" t="str">
        <f t="shared" si="8"/>
        <v>BNB</v>
      </c>
      <c r="S5" s="10">
        <f t="shared" si="9"/>
        <v>1497928447</v>
      </c>
      <c r="U5" s="7">
        <v>4</v>
      </c>
      <c r="V5" s="9" t="str">
        <f t="shared" si="10"/>
        <v>USDC</v>
      </c>
      <c r="W5" s="10">
        <f t="shared" si="11"/>
        <v>61230000000</v>
      </c>
      <c r="Y5" s="8">
        <f t="shared" si="12"/>
        <v>1E-3</v>
      </c>
    </row>
    <row r="6" spans="1:28" x14ac:dyDescent="0.3">
      <c r="A6" s="5" t="s">
        <v>49</v>
      </c>
      <c r="B6" s="5" t="s">
        <v>49</v>
      </c>
      <c r="C6" s="5" t="s">
        <v>50</v>
      </c>
      <c r="D6" s="5" t="s">
        <v>51</v>
      </c>
      <c r="E6" s="5" t="s">
        <v>52</v>
      </c>
      <c r="F6" s="5" t="s">
        <v>53</v>
      </c>
      <c r="G6" s="5" t="s">
        <v>54</v>
      </c>
      <c r="H6" s="6">
        <f t="shared" si="0"/>
        <v>1497928447</v>
      </c>
      <c r="I6" s="7" t="str">
        <f t="shared" si="1"/>
        <v>Yes</v>
      </c>
      <c r="J6" s="7">
        <f t="shared" si="2"/>
        <v>4</v>
      </c>
      <c r="K6" s="6">
        <f t="shared" si="3"/>
        <v>90840000000</v>
      </c>
      <c r="L6" s="7">
        <f t="shared" si="4"/>
        <v>3</v>
      </c>
      <c r="M6" s="8">
        <f t="shared" si="5"/>
        <v>1E-3</v>
      </c>
      <c r="N6" s="7" t="str">
        <f t="shared" si="6"/>
        <v>Positive</v>
      </c>
      <c r="O6" s="7" t="str">
        <f t="shared" si="7"/>
        <v>High</v>
      </c>
      <c r="Q6" s="7">
        <v>5</v>
      </c>
      <c r="R6" s="9" t="str">
        <f t="shared" si="8"/>
        <v>Dogecoin</v>
      </c>
      <c r="S6" s="10">
        <f t="shared" si="9"/>
        <v>781433558</v>
      </c>
      <c r="U6" s="7">
        <v>5</v>
      </c>
      <c r="V6" s="9" t="str">
        <f t="shared" si="10"/>
        <v>Dogecoin</v>
      </c>
      <c r="W6" s="10">
        <f t="shared" si="11"/>
        <v>24770000000</v>
      </c>
      <c r="Y6" s="8">
        <f t="shared" si="12"/>
        <v>9.4000000000000004E-3</v>
      </c>
    </row>
    <row r="7" spans="1:28" x14ac:dyDescent="0.3">
      <c r="A7" s="5" t="s">
        <v>55</v>
      </c>
      <c r="B7" s="5" t="s">
        <v>56</v>
      </c>
      <c r="C7" s="5" t="s">
        <v>57</v>
      </c>
      <c r="D7" s="5" t="s">
        <v>58</v>
      </c>
      <c r="E7" s="5" t="s">
        <v>59</v>
      </c>
      <c r="F7" s="5" t="s">
        <v>60</v>
      </c>
      <c r="G7" s="5" t="s">
        <v>61</v>
      </c>
      <c r="H7" s="6">
        <f t="shared" si="0"/>
        <v>2904341748</v>
      </c>
      <c r="I7" s="7" t="str">
        <f t="shared" si="1"/>
        <v>No</v>
      </c>
      <c r="J7" s="7" t="str">
        <f t="shared" si="2"/>
        <v/>
      </c>
      <c r="K7" s="6">
        <f t="shared" si="3"/>
        <v>75330000000</v>
      </c>
      <c r="L7" s="7" t="str">
        <f t="shared" si="4"/>
        <v/>
      </c>
      <c r="M7" s="8">
        <f t="shared" si="5"/>
        <v>9.9000000000000008E-3</v>
      </c>
      <c r="N7" s="7" t="str">
        <f t="shared" si="6"/>
        <v>Positive</v>
      </c>
      <c r="O7" s="7" t="str">
        <f t="shared" si="7"/>
        <v>High</v>
      </c>
      <c r="Q7" s="7">
        <v>6</v>
      </c>
      <c r="R7" s="9" t="str">
        <f t="shared" si="8"/>
        <v>Cardano</v>
      </c>
      <c r="S7" s="10">
        <f t="shared" si="9"/>
        <v>539447597</v>
      </c>
      <c r="U7" s="7">
        <v>6</v>
      </c>
      <c r="V7" s="9" t="str">
        <f t="shared" si="10"/>
        <v>Cardano</v>
      </c>
      <c r="W7" s="10">
        <f t="shared" si="11"/>
        <v>20540000000</v>
      </c>
      <c r="Y7" s="8">
        <f t="shared" si="12"/>
        <v>9.5999999999999992E-3</v>
      </c>
    </row>
    <row r="8" spans="1:28" x14ac:dyDescent="0.3">
      <c r="A8" s="5" t="s">
        <v>62</v>
      </c>
      <c r="B8" s="5" t="s">
        <v>62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6">
        <f t="shared" si="0"/>
        <v>8208315257</v>
      </c>
      <c r="I8" s="7" t="str">
        <f t="shared" si="1"/>
        <v>Yes</v>
      </c>
      <c r="J8" s="7">
        <f t="shared" si="2"/>
        <v>3</v>
      </c>
      <c r="K8" s="6">
        <f t="shared" si="3"/>
        <v>61230000000</v>
      </c>
      <c r="L8" s="7">
        <f t="shared" si="4"/>
        <v>4</v>
      </c>
      <c r="M8" s="8">
        <f t="shared" si="5"/>
        <v>2.9999999999999997E-4</v>
      </c>
      <c r="N8" s="7" t="str">
        <f t="shared" si="6"/>
        <v>Positive</v>
      </c>
      <c r="O8" s="7" t="str">
        <f t="shared" si="7"/>
        <v>High</v>
      </c>
      <c r="Q8" s="7">
        <v>7</v>
      </c>
      <c r="R8" s="9" t="str">
        <f t="shared" si="8"/>
        <v>Orbiter Finance</v>
      </c>
      <c r="S8" s="10">
        <f t="shared" si="9"/>
        <v>40860347</v>
      </c>
      <c r="U8" s="7">
        <v>7</v>
      </c>
      <c r="V8" s="9" t="str">
        <f t="shared" si="10"/>
        <v>Usual USD</v>
      </c>
      <c r="W8" s="10">
        <f t="shared" si="11"/>
        <v>652010000</v>
      </c>
      <c r="Y8" s="8">
        <f t="shared" si="12"/>
        <v>4.2700000000000002E-2</v>
      </c>
    </row>
    <row r="9" spans="1:28" x14ac:dyDescent="0.3">
      <c r="A9" s="5" t="s">
        <v>68</v>
      </c>
      <c r="B9" s="5" t="s">
        <v>69</v>
      </c>
      <c r="C9" s="5" t="s">
        <v>70</v>
      </c>
      <c r="D9" s="5" t="s">
        <v>71</v>
      </c>
      <c r="E9" s="5" t="s">
        <v>72</v>
      </c>
      <c r="F9" s="5" t="s">
        <v>73</v>
      </c>
      <c r="G9" s="5" t="s">
        <v>74</v>
      </c>
      <c r="H9" s="6">
        <f t="shared" si="0"/>
        <v>445406337</v>
      </c>
      <c r="I9" s="7" t="str">
        <f t="shared" si="1"/>
        <v>No</v>
      </c>
      <c r="J9" s="7" t="str">
        <f t="shared" si="2"/>
        <v/>
      </c>
      <c r="K9" s="6">
        <f t="shared" si="3"/>
        <v>25930000000</v>
      </c>
      <c r="L9" s="7" t="str">
        <f t="shared" si="4"/>
        <v/>
      </c>
      <c r="M9" s="8">
        <f t="shared" si="5"/>
        <v>3.5999999999999999E-3</v>
      </c>
      <c r="N9" s="7" t="str">
        <f t="shared" si="6"/>
        <v>Positive</v>
      </c>
      <c r="O9" s="7" t="str">
        <f t="shared" si="7"/>
        <v>Medium</v>
      </c>
      <c r="Q9" s="7">
        <v>8</v>
      </c>
      <c r="R9" s="9" t="str">
        <f t="shared" si="8"/>
        <v>Usual</v>
      </c>
      <c r="S9" s="10">
        <f t="shared" si="9"/>
        <v>25758134</v>
      </c>
      <c r="U9" s="7">
        <v>8</v>
      </c>
      <c r="V9" s="9" t="str">
        <f t="shared" si="10"/>
        <v>Ondo US Dollar Yield</v>
      </c>
      <c r="W9" s="10">
        <f t="shared" si="11"/>
        <v>635980000</v>
      </c>
      <c r="Y9" s="8">
        <f t="shared" si="12"/>
        <v>1.14E-2</v>
      </c>
    </row>
    <row r="10" spans="1:28" x14ac:dyDescent="0.3">
      <c r="A10" s="5" t="s">
        <v>75</v>
      </c>
      <c r="B10" s="5" t="s">
        <v>76</v>
      </c>
      <c r="C10" s="5" t="s">
        <v>77</v>
      </c>
      <c r="D10" s="5" t="s">
        <v>78</v>
      </c>
      <c r="E10" s="5" t="s">
        <v>79</v>
      </c>
      <c r="F10" s="5" t="s">
        <v>80</v>
      </c>
      <c r="G10" s="5" t="s">
        <v>81</v>
      </c>
      <c r="H10" s="6">
        <f t="shared" si="0"/>
        <v>781433558</v>
      </c>
      <c r="I10" s="7" t="str">
        <f t="shared" si="1"/>
        <v>Yes</v>
      </c>
      <c r="J10" s="7">
        <f t="shared" si="2"/>
        <v>5</v>
      </c>
      <c r="K10" s="6">
        <f t="shared" si="3"/>
        <v>24770000000</v>
      </c>
      <c r="L10" s="7">
        <f t="shared" si="4"/>
        <v>5</v>
      </c>
      <c r="M10" s="8">
        <f t="shared" si="5"/>
        <v>9.4000000000000004E-3</v>
      </c>
      <c r="N10" s="7" t="str">
        <f t="shared" si="6"/>
        <v>Positive</v>
      </c>
      <c r="O10" s="7" t="str">
        <f t="shared" si="7"/>
        <v>Medium</v>
      </c>
      <c r="Q10" s="7">
        <v>9</v>
      </c>
      <c r="R10" s="9" t="str">
        <f t="shared" si="8"/>
        <v>Decentraland</v>
      </c>
      <c r="S10" s="10">
        <f t="shared" si="9"/>
        <v>25685731</v>
      </c>
      <c r="U10" s="7">
        <v>9</v>
      </c>
      <c r="V10" s="9" t="str">
        <f t="shared" si="10"/>
        <v>Core</v>
      </c>
      <c r="W10" s="10">
        <f t="shared" si="11"/>
        <v>546450000</v>
      </c>
      <c r="Y10" s="8">
        <f t="shared" si="12"/>
        <v>1.37E-2</v>
      </c>
    </row>
    <row r="11" spans="1:28" x14ac:dyDescent="0.3">
      <c r="A11" s="5" t="s">
        <v>82</v>
      </c>
      <c r="B11" s="5" t="s">
        <v>83</v>
      </c>
      <c r="C11" s="5" t="s">
        <v>84</v>
      </c>
      <c r="D11" s="5" t="s">
        <v>85</v>
      </c>
      <c r="E11" s="5" t="s">
        <v>86</v>
      </c>
      <c r="F11" s="5" t="s">
        <v>87</v>
      </c>
      <c r="G11" s="5" t="s">
        <v>88</v>
      </c>
      <c r="H11" s="6">
        <f t="shared" si="0"/>
        <v>539447597</v>
      </c>
      <c r="I11" s="7" t="str">
        <f t="shared" si="1"/>
        <v>Yes</v>
      </c>
      <c r="J11" s="7">
        <f t="shared" si="2"/>
        <v>6</v>
      </c>
      <c r="K11" s="6">
        <f t="shared" si="3"/>
        <v>20540000000</v>
      </c>
      <c r="L11" s="7">
        <f t="shared" si="4"/>
        <v>6</v>
      </c>
      <c r="M11" s="8">
        <f t="shared" si="5"/>
        <v>9.5999999999999992E-3</v>
      </c>
      <c r="N11" s="7" t="str">
        <f t="shared" si="6"/>
        <v>Positive</v>
      </c>
      <c r="O11" s="7" t="str">
        <f t="shared" si="7"/>
        <v>Medium</v>
      </c>
      <c r="Q11" s="7">
        <v>10</v>
      </c>
      <c r="R11" s="9" t="str">
        <f t="shared" si="8"/>
        <v>Eurite</v>
      </c>
      <c r="S11" s="10">
        <f t="shared" si="9"/>
        <v>22680605</v>
      </c>
      <c r="U11" s="7">
        <v>10</v>
      </c>
      <c r="V11" s="9" t="str">
        <f t="shared" si="10"/>
        <v>Decentraland</v>
      </c>
      <c r="W11" s="10">
        <f t="shared" si="11"/>
        <v>493580000</v>
      </c>
      <c r="Y11" s="8">
        <f t="shared" si="12"/>
        <v>6.9999999999999999E-4</v>
      </c>
    </row>
    <row r="12" spans="1:28" x14ac:dyDescent="0.3">
      <c r="A12" s="5" t="s">
        <v>89</v>
      </c>
      <c r="B12" s="5" t="s">
        <v>90</v>
      </c>
      <c r="C12" s="5" t="s">
        <v>91</v>
      </c>
      <c r="D12" s="5" t="s">
        <v>92</v>
      </c>
      <c r="E12" s="5" t="s">
        <v>93</v>
      </c>
      <c r="F12" s="5" t="s">
        <v>94</v>
      </c>
      <c r="G12" s="5" t="s">
        <v>95</v>
      </c>
      <c r="H12" s="6">
        <f t="shared" si="0"/>
        <v>60468868</v>
      </c>
      <c r="I12" s="7" t="str">
        <f t="shared" si="1"/>
        <v>No</v>
      </c>
      <c r="J12" s="7" t="str">
        <f t="shared" si="2"/>
        <v/>
      </c>
      <c r="K12" s="6">
        <f t="shared" si="3"/>
        <v>571840000</v>
      </c>
      <c r="L12" s="7" t="str">
        <f t="shared" si="4"/>
        <v/>
      </c>
      <c r="M12" s="8">
        <f t="shared" si="5"/>
        <v>1.4E-2</v>
      </c>
      <c r="N12" s="7" t="str">
        <f t="shared" si="6"/>
        <v>Positive</v>
      </c>
      <c r="O12" s="7" t="str">
        <f t="shared" si="7"/>
        <v>Medium</v>
      </c>
    </row>
    <row r="13" spans="1:28" x14ac:dyDescent="0.3">
      <c r="A13" s="5" t="s">
        <v>96</v>
      </c>
      <c r="B13" s="5" t="s">
        <v>97</v>
      </c>
      <c r="C13" s="5" t="s">
        <v>98</v>
      </c>
      <c r="D13" s="5" t="s">
        <v>99</v>
      </c>
      <c r="E13" s="5" t="s">
        <v>100</v>
      </c>
      <c r="F13" s="5" t="s">
        <v>101</v>
      </c>
      <c r="G13" s="5" t="s">
        <v>102</v>
      </c>
      <c r="H13" s="6">
        <f t="shared" si="0"/>
        <v>22854744</v>
      </c>
      <c r="I13" s="7" t="str">
        <f t="shared" si="1"/>
        <v>No</v>
      </c>
      <c r="J13" s="7" t="str">
        <f t="shared" si="2"/>
        <v/>
      </c>
      <c r="K13" s="6">
        <f t="shared" si="3"/>
        <v>567000000</v>
      </c>
      <c r="L13" s="7" t="str">
        <f t="shared" si="4"/>
        <v/>
      </c>
      <c r="M13" s="8">
        <f t="shared" si="5"/>
        <v>1.5699999999999999E-2</v>
      </c>
      <c r="N13" s="7" t="str">
        <f t="shared" si="6"/>
        <v>Positive</v>
      </c>
      <c r="O13" s="7" t="str">
        <f t="shared" si="7"/>
        <v>Medium</v>
      </c>
    </row>
    <row r="14" spans="1:28" x14ac:dyDescent="0.3">
      <c r="A14" s="5" t="s">
        <v>103</v>
      </c>
      <c r="B14" s="5" t="s">
        <v>104</v>
      </c>
      <c r="C14" s="5" t="s">
        <v>105</v>
      </c>
      <c r="D14" s="5" t="s">
        <v>106</v>
      </c>
      <c r="E14" s="5" t="s">
        <v>107</v>
      </c>
      <c r="F14" s="5" t="s">
        <v>108</v>
      </c>
      <c r="G14" s="5" t="s">
        <v>109</v>
      </c>
      <c r="H14" s="6">
        <f t="shared" si="0"/>
        <v>110228545</v>
      </c>
      <c r="I14" s="7" t="str">
        <f t="shared" si="1"/>
        <v>No</v>
      </c>
      <c r="J14" s="7" t="str">
        <f t="shared" si="2"/>
        <v/>
      </c>
      <c r="K14" s="6">
        <f t="shared" si="3"/>
        <v>551360000</v>
      </c>
      <c r="L14" s="7" t="str">
        <f t="shared" si="4"/>
        <v/>
      </c>
      <c r="M14" s="8">
        <f t="shared" si="5"/>
        <v>1.17E-2</v>
      </c>
      <c r="N14" s="7" t="str">
        <f t="shared" si="6"/>
        <v>Positive</v>
      </c>
      <c r="O14" s="7" t="str">
        <f t="shared" si="7"/>
        <v>Medium</v>
      </c>
      <c r="Q14" s="2"/>
    </row>
    <row r="15" spans="1:28" x14ac:dyDescent="0.3">
      <c r="A15" s="5" t="s">
        <v>110</v>
      </c>
      <c r="B15" s="5" t="s">
        <v>111</v>
      </c>
      <c r="C15" s="5" t="s">
        <v>112</v>
      </c>
      <c r="D15" s="5" t="s">
        <v>113</v>
      </c>
      <c r="E15" s="5" t="s">
        <v>114</v>
      </c>
      <c r="F15" s="5" t="s">
        <v>115</v>
      </c>
      <c r="G15" s="5" t="s">
        <v>116</v>
      </c>
      <c r="H15" s="6">
        <f t="shared" si="0"/>
        <v>14386742</v>
      </c>
      <c r="I15" s="7" t="str">
        <f t="shared" si="1"/>
        <v>Yes</v>
      </c>
      <c r="J15" s="7">
        <f t="shared" si="2"/>
        <v>11</v>
      </c>
      <c r="K15" s="6">
        <f t="shared" si="3"/>
        <v>546450000</v>
      </c>
      <c r="L15" s="7">
        <f t="shared" si="4"/>
        <v>9</v>
      </c>
      <c r="M15" s="8">
        <f t="shared" si="5"/>
        <v>8.2000000000000007E-3</v>
      </c>
      <c r="N15" s="7" t="str">
        <f t="shared" si="6"/>
        <v>Positive</v>
      </c>
      <c r="O15" s="7" t="str">
        <f t="shared" si="7"/>
        <v>Medium</v>
      </c>
    </row>
    <row r="16" spans="1:28" x14ac:dyDescent="0.3">
      <c r="A16" s="5" t="s">
        <v>117</v>
      </c>
      <c r="B16" s="5" t="s">
        <v>118</v>
      </c>
      <c r="C16" s="5" t="s">
        <v>119</v>
      </c>
      <c r="D16" s="5" t="s">
        <v>120</v>
      </c>
      <c r="E16" s="5" t="s">
        <v>121</v>
      </c>
      <c r="F16" s="5" t="s">
        <v>122</v>
      </c>
      <c r="G16" s="5" t="s">
        <v>123</v>
      </c>
      <c r="H16" s="6">
        <f t="shared" si="0"/>
        <v>14355952</v>
      </c>
      <c r="I16" s="7" t="str">
        <f t="shared" si="1"/>
        <v>No</v>
      </c>
      <c r="J16" s="7" t="str">
        <f t="shared" si="2"/>
        <v/>
      </c>
      <c r="K16" s="6">
        <f t="shared" si="3"/>
        <v>545720000</v>
      </c>
      <c r="L16" s="7" t="str">
        <f t="shared" si="4"/>
        <v/>
      </c>
      <c r="M16" s="8">
        <f t="shared" si="5"/>
        <v>6.6E-3</v>
      </c>
      <c r="N16" s="7" t="str">
        <f t="shared" si="6"/>
        <v>Positive</v>
      </c>
      <c r="O16" s="7" t="str">
        <f t="shared" si="7"/>
        <v>Medium</v>
      </c>
    </row>
    <row r="17" spans="1:15" x14ac:dyDescent="0.3">
      <c r="A17" s="5" t="s">
        <v>124</v>
      </c>
      <c r="B17" s="5" t="s">
        <v>125</v>
      </c>
      <c r="C17" s="5" t="s">
        <v>126</v>
      </c>
      <c r="D17" s="5" t="s">
        <v>127</v>
      </c>
      <c r="E17" s="5" t="s">
        <v>128</v>
      </c>
      <c r="F17" s="5" t="s">
        <v>129</v>
      </c>
      <c r="G17" s="5" t="s">
        <v>130</v>
      </c>
      <c r="H17" s="6">
        <f t="shared" si="0"/>
        <v>27917564</v>
      </c>
      <c r="I17" s="7" t="str">
        <f t="shared" si="1"/>
        <v>No</v>
      </c>
      <c r="J17" s="7" t="str">
        <f t="shared" si="2"/>
        <v/>
      </c>
      <c r="K17" s="6">
        <f t="shared" si="3"/>
        <v>543570000</v>
      </c>
      <c r="L17" s="7" t="str">
        <f t="shared" si="4"/>
        <v/>
      </c>
      <c r="M17" s="8">
        <f t="shared" si="5"/>
        <v>2.2700000000000001E-2</v>
      </c>
      <c r="N17" s="7" t="str">
        <f t="shared" si="6"/>
        <v>Positive</v>
      </c>
      <c r="O17" s="7" t="str">
        <f t="shared" si="7"/>
        <v>Medium</v>
      </c>
    </row>
    <row r="18" spans="1:15" x14ac:dyDescent="0.3">
      <c r="A18" s="5" t="s">
        <v>131</v>
      </c>
      <c r="B18" s="5" t="s">
        <v>132</v>
      </c>
      <c r="C18" s="5" t="s">
        <v>133</v>
      </c>
      <c r="D18" s="5" t="s">
        <v>134</v>
      </c>
      <c r="E18" s="5" t="s">
        <v>135</v>
      </c>
      <c r="F18" s="5" t="s">
        <v>136</v>
      </c>
      <c r="G18" s="5" t="s">
        <v>137</v>
      </c>
      <c r="H18" s="6">
        <f t="shared" si="0"/>
        <v>21157648</v>
      </c>
      <c r="I18" s="7" t="str">
        <f t="shared" si="1"/>
        <v>No</v>
      </c>
      <c r="J18" s="7" t="str">
        <f t="shared" si="2"/>
        <v/>
      </c>
      <c r="K18" s="6">
        <f t="shared" si="3"/>
        <v>539910000</v>
      </c>
      <c r="L18" s="7" t="str">
        <f t="shared" si="4"/>
        <v/>
      </c>
      <c r="M18" s="8">
        <f t="shared" si="5"/>
        <v>0.01</v>
      </c>
      <c r="N18" s="7" t="str">
        <f t="shared" si="6"/>
        <v>Positive</v>
      </c>
      <c r="O18" s="7" t="str">
        <f t="shared" si="7"/>
        <v>Medium</v>
      </c>
    </row>
    <row r="19" spans="1:15" x14ac:dyDescent="0.3">
      <c r="A19" s="5" t="s">
        <v>138</v>
      </c>
      <c r="B19" s="5" t="s">
        <v>139</v>
      </c>
      <c r="C19" s="5" t="s">
        <v>140</v>
      </c>
      <c r="D19" s="5" t="s">
        <v>141</v>
      </c>
      <c r="E19" s="5" t="s">
        <v>142</v>
      </c>
      <c r="F19" s="5" t="s">
        <v>143</v>
      </c>
      <c r="G19" s="5" t="s">
        <v>144</v>
      </c>
      <c r="H19" s="6">
        <f t="shared" si="0"/>
        <v>70946476</v>
      </c>
      <c r="I19" s="7" t="str">
        <f t="shared" si="1"/>
        <v>No</v>
      </c>
      <c r="J19" s="7" t="str">
        <f t="shared" si="2"/>
        <v/>
      </c>
      <c r="K19" s="6">
        <f t="shared" si="3"/>
        <v>515169999.99999994</v>
      </c>
      <c r="L19" s="7" t="str">
        <f t="shared" si="4"/>
        <v/>
      </c>
      <c r="M19" s="8">
        <f t="shared" si="5"/>
        <v>3.0499999999999999E-2</v>
      </c>
      <c r="N19" s="7" t="str">
        <f t="shared" si="6"/>
        <v>Positive</v>
      </c>
      <c r="O19" s="7" t="str">
        <f t="shared" si="7"/>
        <v>Medium</v>
      </c>
    </row>
    <row r="20" spans="1:15" x14ac:dyDescent="0.3">
      <c r="A20" s="5" t="s">
        <v>145</v>
      </c>
      <c r="B20" s="5" t="s">
        <v>146</v>
      </c>
      <c r="C20" s="5" t="s">
        <v>147</v>
      </c>
      <c r="D20" s="5" t="s">
        <v>148</v>
      </c>
      <c r="E20" s="5" t="s">
        <v>149</v>
      </c>
      <c r="F20" s="5" t="s">
        <v>150</v>
      </c>
      <c r="G20" s="5" t="s">
        <v>151</v>
      </c>
      <c r="H20" s="6">
        <f t="shared" si="0"/>
        <v>25685731</v>
      </c>
      <c r="I20" s="7" t="str">
        <f t="shared" si="1"/>
        <v>Yes</v>
      </c>
      <c r="J20" s="7">
        <f t="shared" si="2"/>
        <v>9</v>
      </c>
      <c r="K20" s="6">
        <f t="shared" si="3"/>
        <v>493580000</v>
      </c>
      <c r="L20" s="7">
        <f t="shared" si="4"/>
        <v>10</v>
      </c>
      <c r="M20" s="8">
        <f t="shared" si="5"/>
        <v>1.37E-2</v>
      </c>
      <c r="N20" s="7" t="str">
        <f t="shared" si="6"/>
        <v>Positive</v>
      </c>
      <c r="O20" s="7" t="str">
        <f t="shared" si="7"/>
        <v>Medium</v>
      </c>
    </row>
    <row r="21" spans="1:15" x14ac:dyDescent="0.3">
      <c r="A21" s="5" t="s">
        <v>152</v>
      </c>
      <c r="B21" s="5" t="s">
        <v>153</v>
      </c>
      <c r="C21" s="5" t="s">
        <v>154</v>
      </c>
      <c r="D21" s="5" t="s">
        <v>155</v>
      </c>
      <c r="E21" s="5" t="s">
        <v>156</v>
      </c>
      <c r="F21" s="5" t="s">
        <v>157</v>
      </c>
      <c r="G21" s="5" t="s">
        <v>158</v>
      </c>
      <c r="H21" s="6">
        <f t="shared" si="0"/>
        <v>60347807</v>
      </c>
      <c r="I21" s="7" t="str">
        <f t="shared" si="1"/>
        <v>No</v>
      </c>
      <c r="J21" s="7" t="str">
        <f t="shared" si="2"/>
        <v/>
      </c>
      <c r="K21" s="6">
        <f t="shared" si="3"/>
        <v>493330000</v>
      </c>
      <c r="L21" s="7" t="str">
        <f t="shared" si="4"/>
        <v/>
      </c>
      <c r="M21" s="8">
        <f t="shared" si="5"/>
        <v>1E-4</v>
      </c>
      <c r="N21" s="7" t="str">
        <f t="shared" si="6"/>
        <v>Positive</v>
      </c>
      <c r="O21" s="7" t="str">
        <f t="shared" si="7"/>
        <v>Medium</v>
      </c>
    </row>
    <row r="22" spans="1:15" x14ac:dyDescent="0.3">
      <c r="A22" s="5" t="s">
        <v>159</v>
      </c>
      <c r="B22" s="5" t="s">
        <v>160</v>
      </c>
      <c r="C22" s="5" t="s">
        <v>161</v>
      </c>
      <c r="D22" s="5" t="s">
        <v>155</v>
      </c>
      <c r="E22" s="5" t="s">
        <v>162</v>
      </c>
      <c r="F22" s="5" t="s">
        <v>163</v>
      </c>
      <c r="G22" s="5" t="s">
        <v>164</v>
      </c>
      <c r="H22" s="6">
        <f t="shared" si="0"/>
        <v>58305626</v>
      </c>
      <c r="I22" s="7" t="str">
        <f t="shared" si="1"/>
        <v>No</v>
      </c>
      <c r="J22" s="7" t="str">
        <f t="shared" si="2"/>
        <v/>
      </c>
      <c r="K22" s="6">
        <f t="shared" si="3"/>
        <v>1950000000</v>
      </c>
      <c r="L22" s="7" t="str">
        <f t="shared" si="4"/>
        <v/>
      </c>
      <c r="M22" s="8">
        <f t="shared" si="5"/>
        <v>1E-4</v>
      </c>
      <c r="N22" s="7" t="str">
        <f t="shared" si="6"/>
        <v>Positive</v>
      </c>
      <c r="O22" s="7" t="str">
        <f t="shared" si="7"/>
        <v>Medium</v>
      </c>
    </row>
    <row r="23" spans="1:15" x14ac:dyDescent="0.3">
      <c r="A23" s="5" t="s">
        <v>165</v>
      </c>
      <c r="B23" s="5" t="s">
        <v>166</v>
      </c>
      <c r="C23" s="5" t="s">
        <v>167</v>
      </c>
      <c r="D23" s="5" t="s">
        <v>168</v>
      </c>
      <c r="E23" s="5" t="s">
        <v>169</v>
      </c>
      <c r="F23" s="5" t="s">
        <v>170</v>
      </c>
      <c r="G23" s="5" t="s">
        <v>171</v>
      </c>
      <c r="H23" s="6">
        <f t="shared" si="0"/>
        <v>17245756</v>
      </c>
      <c r="I23" s="7" t="str">
        <f t="shared" si="1"/>
        <v>No</v>
      </c>
      <c r="J23" s="7" t="str">
        <f t="shared" si="2"/>
        <v/>
      </c>
      <c r="K23" s="6">
        <f t="shared" si="3"/>
        <v>1490000000</v>
      </c>
      <c r="L23" s="7" t="str">
        <f t="shared" si="4"/>
        <v/>
      </c>
      <c r="M23" s="8">
        <f t="shared" si="5"/>
        <v>4.4999999999999997E-3</v>
      </c>
      <c r="N23" s="7" t="str">
        <f t="shared" si="6"/>
        <v>Positive</v>
      </c>
      <c r="O23" s="7" t="str">
        <f t="shared" si="7"/>
        <v>Medium</v>
      </c>
    </row>
    <row r="24" spans="1:15" x14ac:dyDescent="0.3">
      <c r="A24" s="5" t="s">
        <v>172</v>
      </c>
      <c r="B24" s="5" t="s">
        <v>173</v>
      </c>
      <c r="C24" s="5" t="s">
        <v>174</v>
      </c>
      <c r="D24" s="5" t="s">
        <v>175</v>
      </c>
      <c r="E24" s="5" t="s">
        <v>176</v>
      </c>
      <c r="F24" s="5" t="s">
        <v>177</v>
      </c>
      <c r="G24" s="5" t="s">
        <v>178</v>
      </c>
      <c r="H24" s="6">
        <f t="shared" si="0"/>
        <v>486945</v>
      </c>
      <c r="I24" s="7" t="str">
        <f t="shared" si="1"/>
        <v>No</v>
      </c>
      <c r="J24" s="7" t="str">
        <f t="shared" si="2"/>
        <v/>
      </c>
      <c r="K24" s="6">
        <f t="shared" si="3"/>
        <v>846700000</v>
      </c>
      <c r="L24" s="7" t="str">
        <f t="shared" si="4"/>
        <v/>
      </c>
      <c r="M24" s="8">
        <f t="shared" si="5"/>
        <v>5.9999999999999995E-4</v>
      </c>
      <c r="N24" s="7" t="str">
        <f t="shared" si="6"/>
        <v>Positive</v>
      </c>
      <c r="O24" s="7" t="str">
        <f t="shared" si="7"/>
        <v>Low</v>
      </c>
    </row>
    <row r="25" spans="1:15" x14ac:dyDescent="0.3">
      <c r="A25" s="5" t="s">
        <v>179</v>
      </c>
      <c r="B25" s="5" t="s">
        <v>180</v>
      </c>
      <c r="C25" s="5" t="s">
        <v>181</v>
      </c>
      <c r="D25" s="5" t="s">
        <v>182</v>
      </c>
      <c r="E25" s="5" t="s">
        <v>183</v>
      </c>
      <c r="F25" s="5" t="s">
        <v>184</v>
      </c>
      <c r="G25" s="5" t="s">
        <v>185</v>
      </c>
      <c r="H25" s="6">
        <f t="shared" si="0"/>
        <v>2595867</v>
      </c>
      <c r="I25" s="7" t="str">
        <f t="shared" si="1"/>
        <v>No</v>
      </c>
      <c r="J25" s="7" t="str">
        <f t="shared" si="2"/>
        <v/>
      </c>
      <c r="K25" s="6">
        <f t="shared" si="3"/>
        <v>677190000</v>
      </c>
      <c r="L25" s="7" t="str">
        <f t="shared" si="4"/>
        <v/>
      </c>
      <c r="M25" s="8">
        <f t="shared" si="5"/>
        <v>5.1999999999999998E-3</v>
      </c>
      <c r="N25" s="7" t="str">
        <f t="shared" si="6"/>
        <v>Positive</v>
      </c>
      <c r="O25" s="7" t="str">
        <f t="shared" si="7"/>
        <v>Low</v>
      </c>
    </row>
    <row r="26" spans="1:15" x14ac:dyDescent="0.3">
      <c r="A26" s="5" t="s">
        <v>186</v>
      </c>
      <c r="B26" s="5" t="s">
        <v>187</v>
      </c>
      <c r="C26" s="5" t="s">
        <v>188</v>
      </c>
      <c r="D26" s="5" t="s">
        <v>155</v>
      </c>
      <c r="E26" s="5" t="s">
        <v>189</v>
      </c>
      <c r="F26" s="5" t="s">
        <v>190</v>
      </c>
      <c r="G26" s="5" t="s">
        <v>191</v>
      </c>
      <c r="H26" s="6">
        <f t="shared" si="0"/>
        <v>6754108</v>
      </c>
      <c r="I26" s="7" t="str">
        <f t="shared" si="1"/>
        <v>Yes</v>
      </c>
      <c r="J26" s="7">
        <f t="shared" si="2"/>
        <v>16</v>
      </c>
      <c r="K26" s="6">
        <f t="shared" si="3"/>
        <v>652010000</v>
      </c>
      <c r="L26" s="7">
        <f t="shared" si="4"/>
        <v>7</v>
      </c>
      <c r="M26" s="8">
        <f t="shared" si="5"/>
        <v>1E-4</v>
      </c>
      <c r="N26" s="7" t="str">
        <f t="shared" si="6"/>
        <v>Positive</v>
      </c>
      <c r="O26" s="7" t="str">
        <f t="shared" si="7"/>
        <v>Low</v>
      </c>
    </row>
    <row r="27" spans="1:15" x14ac:dyDescent="0.3">
      <c r="A27" s="5" t="s">
        <v>192</v>
      </c>
      <c r="B27" s="5" t="s">
        <v>193</v>
      </c>
      <c r="C27" s="5" t="s">
        <v>194</v>
      </c>
      <c r="D27" s="5" t="s">
        <v>64</v>
      </c>
      <c r="E27" s="5" t="s">
        <v>195</v>
      </c>
      <c r="F27" s="5" t="s">
        <v>196</v>
      </c>
      <c r="G27" s="5" t="s">
        <v>197</v>
      </c>
      <c r="H27" s="6">
        <f t="shared" si="0"/>
        <v>2293702</v>
      </c>
      <c r="I27" s="7" t="str">
        <f t="shared" si="1"/>
        <v>Yes</v>
      </c>
      <c r="J27" s="7">
        <f t="shared" si="2"/>
        <v>26</v>
      </c>
      <c r="K27" s="6">
        <f t="shared" si="3"/>
        <v>635980000</v>
      </c>
      <c r="L27" s="7">
        <f t="shared" si="4"/>
        <v>8</v>
      </c>
      <c r="M27" s="8">
        <f t="shared" si="5"/>
        <v>2.9999999999999997E-4</v>
      </c>
      <c r="N27" s="7" t="str">
        <f t="shared" si="6"/>
        <v>Positive</v>
      </c>
      <c r="O27" s="7" t="str">
        <f t="shared" si="7"/>
        <v>Low</v>
      </c>
    </row>
    <row r="28" spans="1:15" x14ac:dyDescent="0.3">
      <c r="A28" s="5" t="s">
        <v>198</v>
      </c>
      <c r="B28" s="5" t="s">
        <v>199</v>
      </c>
      <c r="C28" s="5" t="s">
        <v>200</v>
      </c>
      <c r="D28" s="5" t="s">
        <v>201</v>
      </c>
      <c r="E28" s="5" t="s">
        <v>202</v>
      </c>
      <c r="F28" s="5" t="s">
        <v>203</v>
      </c>
      <c r="G28" s="5" t="s">
        <v>204</v>
      </c>
      <c r="H28" s="6">
        <f t="shared" si="0"/>
        <v>3265776</v>
      </c>
      <c r="I28" s="7" t="str">
        <f t="shared" si="1"/>
        <v>No</v>
      </c>
      <c r="J28" s="7" t="str">
        <f t="shared" si="2"/>
        <v/>
      </c>
      <c r="K28" s="6">
        <f t="shared" si="3"/>
        <v>563500000</v>
      </c>
      <c r="L28" s="7" t="str">
        <f t="shared" si="4"/>
        <v/>
      </c>
      <c r="M28" s="8">
        <f t="shared" si="5"/>
        <v>0</v>
      </c>
      <c r="N28" s="7" t="str">
        <f t="shared" si="6"/>
        <v>Flat</v>
      </c>
      <c r="O28" s="7" t="str">
        <f t="shared" si="7"/>
        <v>Low</v>
      </c>
    </row>
    <row r="29" spans="1:15" x14ac:dyDescent="0.3">
      <c r="A29" s="5" t="s">
        <v>205</v>
      </c>
      <c r="B29" s="5" t="s">
        <v>206</v>
      </c>
      <c r="C29" s="5" t="s">
        <v>207</v>
      </c>
      <c r="D29" s="5" t="s">
        <v>182</v>
      </c>
      <c r="E29" s="5" t="s">
        <v>208</v>
      </c>
      <c r="F29" s="5" t="s">
        <v>209</v>
      </c>
      <c r="G29" s="5" t="s">
        <v>210</v>
      </c>
      <c r="H29" s="6">
        <f t="shared" si="0"/>
        <v>183208</v>
      </c>
      <c r="I29" s="7" t="str">
        <f t="shared" si="1"/>
        <v>No</v>
      </c>
      <c r="J29" s="7" t="str">
        <f t="shared" si="2"/>
        <v/>
      </c>
      <c r="K29" s="6">
        <f t="shared" si="3"/>
        <v>546470000</v>
      </c>
      <c r="L29" s="7" t="str">
        <f t="shared" si="4"/>
        <v/>
      </c>
      <c r="M29" s="8">
        <f t="shared" si="5"/>
        <v>5.1999999999999998E-3</v>
      </c>
      <c r="N29" s="7" t="str">
        <f t="shared" si="6"/>
        <v>Positive</v>
      </c>
      <c r="O29" s="7" t="str">
        <f t="shared" si="7"/>
        <v>Low</v>
      </c>
    </row>
    <row r="30" spans="1:15" x14ac:dyDescent="0.3">
      <c r="A30" s="5" t="s">
        <v>211</v>
      </c>
      <c r="B30" s="5" t="s">
        <v>212</v>
      </c>
      <c r="C30" s="5" t="s">
        <v>213</v>
      </c>
      <c r="D30" s="5" t="s">
        <v>214</v>
      </c>
      <c r="E30" s="5" t="s">
        <v>215</v>
      </c>
      <c r="F30" s="5" t="s">
        <v>216</v>
      </c>
      <c r="G30" s="5" t="s">
        <v>217</v>
      </c>
      <c r="H30" s="6">
        <f t="shared" si="0"/>
        <v>138536</v>
      </c>
      <c r="I30" s="7" t="str">
        <f t="shared" si="1"/>
        <v>No</v>
      </c>
      <c r="J30" s="7" t="str">
        <f t="shared" si="2"/>
        <v/>
      </c>
      <c r="K30" s="6">
        <f t="shared" si="3"/>
        <v>494410000</v>
      </c>
      <c r="L30" s="7" t="str">
        <f t="shared" si="4"/>
        <v/>
      </c>
      <c r="M30" s="8">
        <f t="shared" si="5"/>
        <v>3.0300000000000001E-2</v>
      </c>
      <c r="N30" s="7" t="str">
        <f t="shared" si="6"/>
        <v>Positive</v>
      </c>
      <c r="O30" s="7" t="str">
        <f t="shared" si="7"/>
        <v>Low</v>
      </c>
    </row>
    <row r="31" spans="1:15" x14ac:dyDescent="0.3">
      <c r="A31" s="5" t="s">
        <v>218</v>
      </c>
      <c r="B31" s="5" t="s">
        <v>219</v>
      </c>
      <c r="C31" s="5" t="s">
        <v>220</v>
      </c>
      <c r="D31" s="5" t="s">
        <v>120</v>
      </c>
      <c r="E31" s="5" t="s">
        <v>221</v>
      </c>
      <c r="F31" s="5" t="s">
        <v>222</v>
      </c>
      <c r="G31" s="5" t="s">
        <v>223</v>
      </c>
      <c r="H31" s="6">
        <f t="shared" si="0"/>
        <v>772538</v>
      </c>
      <c r="I31" s="7" t="str">
        <f t="shared" si="1"/>
        <v>No</v>
      </c>
      <c r="J31" s="7" t="str">
        <f t="shared" si="2"/>
        <v/>
      </c>
      <c r="K31" s="6">
        <f t="shared" si="3"/>
        <v>478120000</v>
      </c>
      <c r="L31" s="7" t="str">
        <f t="shared" si="4"/>
        <v/>
      </c>
      <c r="M31" s="8">
        <f t="shared" si="5"/>
        <v>6.6E-3</v>
      </c>
      <c r="N31" s="7" t="str">
        <f t="shared" si="6"/>
        <v>Positive</v>
      </c>
      <c r="O31" s="7" t="str">
        <f t="shared" si="7"/>
        <v>Low</v>
      </c>
    </row>
    <row r="32" spans="1:15" x14ac:dyDescent="0.3">
      <c r="A32" s="5" t="s">
        <v>224</v>
      </c>
      <c r="B32" s="5" t="s">
        <v>225</v>
      </c>
      <c r="C32" s="5" t="s">
        <v>226</v>
      </c>
      <c r="D32" s="5" t="s">
        <v>227</v>
      </c>
      <c r="E32" s="5" t="s">
        <v>228</v>
      </c>
      <c r="F32" s="5" t="s">
        <v>229</v>
      </c>
      <c r="G32" s="5" t="s">
        <v>230</v>
      </c>
      <c r="H32" s="6">
        <f t="shared" si="0"/>
        <v>4884866</v>
      </c>
      <c r="I32" s="7" t="str">
        <f t="shared" si="1"/>
        <v>Yes</v>
      </c>
      <c r="J32" s="7">
        <f t="shared" si="2"/>
        <v>19</v>
      </c>
      <c r="K32" s="6">
        <f t="shared" si="3"/>
        <v>110110000</v>
      </c>
      <c r="L32" s="7">
        <f t="shared" si="4"/>
        <v>11</v>
      </c>
      <c r="M32" s="8">
        <f t="shared" si="5"/>
        <v>1.14E-2</v>
      </c>
      <c r="N32" s="7" t="str">
        <f t="shared" si="6"/>
        <v>Positive</v>
      </c>
      <c r="O32" s="7" t="str">
        <f t="shared" si="7"/>
        <v>Low</v>
      </c>
    </row>
    <row r="33" spans="1:15" x14ac:dyDescent="0.3">
      <c r="A33" s="5" t="s">
        <v>231</v>
      </c>
      <c r="B33" s="5" t="s">
        <v>232</v>
      </c>
      <c r="C33" s="5" t="s">
        <v>233</v>
      </c>
      <c r="D33" s="5" t="s">
        <v>234</v>
      </c>
      <c r="E33" s="5" t="s">
        <v>235</v>
      </c>
      <c r="F33" s="5" t="s">
        <v>236</v>
      </c>
      <c r="G33" s="5" t="s">
        <v>237</v>
      </c>
      <c r="H33" s="6">
        <f t="shared" si="0"/>
        <v>3268919</v>
      </c>
      <c r="I33" s="7" t="str">
        <f t="shared" si="1"/>
        <v>No</v>
      </c>
      <c r="J33" s="7" t="str">
        <f t="shared" si="2"/>
        <v/>
      </c>
      <c r="K33" s="6">
        <f t="shared" si="3"/>
        <v>110120000</v>
      </c>
      <c r="L33" s="7" t="str">
        <f t="shared" si="4"/>
        <v/>
      </c>
      <c r="M33" s="8">
        <f t="shared" si="5"/>
        <v>3.2000000000000002E-3</v>
      </c>
      <c r="N33" s="7" t="str">
        <f t="shared" si="6"/>
        <v>Positive</v>
      </c>
      <c r="O33" s="7" t="str">
        <f t="shared" si="7"/>
        <v>Low</v>
      </c>
    </row>
    <row r="34" spans="1:15" x14ac:dyDescent="0.3">
      <c r="A34" s="5" t="s">
        <v>238</v>
      </c>
      <c r="B34" s="5" t="s">
        <v>239</v>
      </c>
      <c r="C34" s="5" t="s">
        <v>240</v>
      </c>
      <c r="D34" s="5" t="s">
        <v>241</v>
      </c>
      <c r="E34" s="5" t="s">
        <v>242</v>
      </c>
      <c r="F34" s="5" t="s">
        <v>243</v>
      </c>
      <c r="G34" s="5" t="s">
        <v>244</v>
      </c>
      <c r="H34" s="6">
        <f t="shared" ref="H34:H65" si="13">IFERROR(VALUE(SUBSTITUTE(SUBSTITUTE(F34,"$",""),",","")),0)</f>
        <v>4086544</v>
      </c>
      <c r="I34" s="7" t="str">
        <f t="shared" ref="I34:I65" si="14">IF(OR(UPPER(LEFT(A34,1))="A",UPPER(LEFT(A34,1))="E",UPPER(LEFT(A34,1))="I",UPPER(LEFT(A34,1))="O",UPPER(LEFT(A34,1))="U",UPPER(LEFT(A34,1))="B",UPPER(LEFT(A34,1))="C",UPPER(LEFT(A34,1))="D"),"Yes","No")</f>
        <v>No</v>
      </c>
      <c r="J34" s="7" t="str">
        <f t="shared" ref="J34:J65" si="15">IF(I34="Yes",SUMPRODUCT(($I$2:$I$201="Yes")*($H$2:$H$201&gt;H34))+1,"")</f>
        <v/>
      </c>
      <c r="K34" s="6">
        <f t="shared" ref="K34:K65" si="16">IFERROR(IF(RIGHT(E34,1)="T",VALUE(SUBSTITUTE(SUBSTITUTE(LEFT(E34,LEN(E34)-1),"$",""),",",""))*1000000000000,IF(RIGHT(E34,1)="B",VALUE(SUBSTITUTE(SUBSTITUTE(LEFT(E34,LEN(E34)-1),"$",""),",",""))*1000000000,IF(RIGHT(E34,1)="M",VALUE(SUBSTITUTE(SUBSTITUTE(LEFT(E34,LEN(E34)-1),"$",""),",",""))*1000000,VALUE(SUBSTITUTE(SUBSTITUTE(E34,"$",""),",",""))))),0)</f>
        <v>109850000</v>
      </c>
      <c r="L34" s="7" t="str">
        <f t="shared" ref="L34:L65" si="17">IF(I34="Yes",SUMPRODUCT(($I$2:$I$201="Yes")*($K$2:$K$201&gt;K34))+1,"")</f>
        <v/>
      </c>
      <c r="M34" s="8">
        <f t="shared" ref="M34:M65" si="18">IFERROR(VALUE(D34),0)</f>
        <v>6.3E-3</v>
      </c>
      <c r="N34" s="7" t="str">
        <f t="shared" ref="N34:N65" si="19">IF(M34&gt;0,"Positive",IF(M34&lt;0,"Negative","Flat"))</f>
        <v>Positive</v>
      </c>
      <c r="O34" s="7" t="str">
        <f t="shared" ref="O34:O65" si="20">IF(H34&gt;=1000000000,"High",IF(H34&gt;=10000000,"Medium","Low"))</f>
        <v>Low</v>
      </c>
    </row>
    <row r="35" spans="1:15" x14ac:dyDescent="0.3">
      <c r="A35" s="5" t="s">
        <v>245</v>
      </c>
      <c r="B35" s="5" t="s">
        <v>245</v>
      </c>
      <c r="C35" s="5" t="s">
        <v>246</v>
      </c>
      <c r="D35" s="5" t="s">
        <v>247</v>
      </c>
      <c r="E35" s="5" t="s">
        <v>248</v>
      </c>
      <c r="F35" s="5" t="s">
        <v>249</v>
      </c>
      <c r="G35" s="5" t="s">
        <v>250</v>
      </c>
      <c r="H35" s="6">
        <f t="shared" si="13"/>
        <v>5574946</v>
      </c>
      <c r="I35" s="7" t="str">
        <f t="shared" si="14"/>
        <v>Yes</v>
      </c>
      <c r="J35" s="7">
        <f t="shared" si="15"/>
        <v>17</v>
      </c>
      <c r="K35" s="6">
        <f t="shared" si="16"/>
        <v>109590000</v>
      </c>
      <c r="L35" s="7">
        <f t="shared" si="17"/>
        <v>12</v>
      </c>
      <c r="M35" s="8">
        <f t="shared" si="18"/>
        <v>9.4999999999999998E-3</v>
      </c>
      <c r="N35" s="7" t="str">
        <f t="shared" si="19"/>
        <v>Positive</v>
      </c>
      <c r="O35" s="7" t="str">
        <f t="shared" si="20"/>
        <v>Low</v>
      </c>
    </row>
    <row r="36" spans="1:15" x14ac:dyDescent="0.3">
      <c r="A36" s="5" t="s">
        <v>251</v>
      </c>
      <c r="B36" s="5" t="s">
        <v>252</v>
      </c>
      <c r="C36" s="5" t="s">
        <v>253</v>
      </c>
      <c r="D36" s="5" t="s">
        <v>254</v>
      </c>
      <c r="E36" s="5" t="s">
        <v>255</v>
      </c>
      <c r="F36" s="5" t="s">
        <v>256</v>
      </c>
      <c r="G36" s="5" t="s">
        <v>257</v>
      </c>
      <c r="H36" s="6">
        <f t="shared" si="13"/>
        <v>6571559</v>
      </c>
      <c r="I36" s="7" t="str">
        <f t="shared" si="14"/>
        <v>No</v>
      </c>
      <c r="J36" s="7" t="str">
        <f t="shared" si="15"/>
        <v/>
      </c>
      <c r="K36" s="6">
        <f t="shared" si="16"/>
        <v>109130000</v>
      </c>
      <c r="L36" s="7" t="str">
        <f t="shared" si="17"/>
        <v/>
      </c>
      <c r="M36" s="8">
        <f t="shared" si="18"/>
        <v>1.1299999999999999E-2</v>
      </c>
      <c r="N36" s="7" t="str">
        <f t="shared" si="19"/>
        <v>Positive</v>
      </c>
      <c r="O36" s="7" t="str">
        <f t="shared" si="20"/>
        <v>Low</v>
      </c>
    </row>
    <row r="37" spans="1:15" x14ac:dyDescent="0.3">
      <c r="A37" s="5" t="s">
        <v>258</v>
      </c>
      <c r="B37" s="5" t="s">
        <v>259</v>
      </c>
      <c r="C37" s="5" t="s">
        <v>260</v>
      </c>
      <c r="D37" s="5" t="s">
        <v>261</v>
      </c>
      <c r="E37" s="5" t="s">
        <v>262</v>
      </c>
      <c r="F37" s="5" t="s">
        <v>263</v>
      </c>
      <c r="G37" s="5" t="s">
        <v>264</v>
      </c>
      <c r="H37" s="6">
        <f t="shared" si="13"/>
        <v>11365168</v>
      </c>
      <c r="I37" s="7" t="str">
        <f t="shared" si="14"/>
        <v>No</v>
      </c>
      <c r="J37" s="7" t="str">
        <f t="shared" si="15"/>
        <v/>
      </c>
      <c r="K37" s="6">
        <f t="shared" si="16"/>
        <v>109060000</v>
      </c>
      <c r="L37" s="7" t="str">
        <f t="shared" si="17"/>
        <v/>
      </c>
      <c r="M37" s="8">
        <f t="shared" si="18"/>
        <v>1.01E-2</v>
      </c>
      <c r="N37" s="7" t="str">
        <f t="shared" si="19"/>
        <v>Positive</v>
      </c>
      <c r="O37" s="7" t="str">
        <f t="shared" si="20"/>
        <v>Medium</v>
      </c>
    </row>
    <row r="38" spans="1:15" x14ac:dyDescent="0.3">
      <c r="A38" s="5" t="s">
        <v>265</v>
      </c>
      <c r="B38" s="5" t="s">
        <v>266</v>
      </c>
      <c r="C38" s="5" t="s">
        <v>267</v>
      </c>
      <c r="D38" s="5" t="s">
        <v>268</v>
      </c>
      <c r="E38" s="5" t="s">
        <v>269</v>
      </c>
      <c r="F38" s="5" t="s">
        <v>270</v>
      </c>
      <c r="G38" s="5" t="s">
        <v>271</v>
      </c>
      <c r="H38" s="6">
        <f t="shared" si="13"/>
        <v>44129611</v>
      </c>
      <c r="I38" s="7" t="str">
        <f t="shared" si="14"/>
        <v>No</v>
      </c>
      <c r="J38" s="7" t="str">
        <f t="shared" si="15"/>
        <v/>
      </c>
      <c r="K38" s="6">
        <f t="shared" si="16"/>
        <v>108680000</v>
      </c>
      <c r="L38" s="7" t="str">
        <f t="shared" si="17"/>
        <v/>
      </c>
      <c r="M38" s="8">
        <f t="shared" si="18"/>
        <v>2.8999999999999998E-3</v>
      </c>
      <c r="N38" s="7" t="str">
        <f t="shared" si="19"/>
        <v>Positive</v>
      </c>
      <c r="O38" s="7" t="str">
        <f t="shared" si="20"/>
        <v>Medium</v>
      </c>
    </row>
    <row r="39" spans="1:15" x14ac:dyDescent="0.3">
      <c r="A39" s="5" t="s">
        <v>272</v>
      </c>
      <c r="B39" s="5" t="s">
        <v>273</v>
      </c>
      <c r="C39" s="5" t="s">
        <v>274</v>
      </c>
      <c r="D39" s="5" t="s">
        <v>275</v>
      </c>
      <c r="E39" s="5" t="s">
        <v>276</v>
      </c>
      <c r="F39" s="5" t="s">
        <v>277</v>
      </c>
      <c r="G39" s="5" t="s">
        <v>278</v>
      </c>
      <c r="H39" s="6">
        <f t="shared" si="13"/>
        <v>1068402</v>
      </c>
      <c r="I39" s="7" t="str">
        <f t="shared" si="14"/>
        <v>Yes</v>
      </c>
      <c r="J39" s="7">
        <f t="shared" si="15"/>
        <v>38</v>
      </c>
      <c r="K39" s="6">
        <f t="shared" si="16"/>
        <v>108350000</v>
      </c>
      <c r="L39" s="7">
        <f t="shared" si="17"/>
        <v>13</v>
      </c>
      <c r="M39" s="8">
        <f t="shared" si="18"/>
        <v>7.1000000000000004E-3</v>
      </c>
      <c r="N39" s="7" t="str">
        <f t="shared" si="19"/>
        <v>Positive</v>
      </c>
      <c r="O39" s="7" t="str">
        <f t="shared" si="20"/>
        <v>Low</v>
      </c>
    </row>
    <row r="40" spans="1:15" x14ac:dyDescent="0.3">
      <c r="A40" s="5" t="s">
        <v>279</v>
      </c>
      <c r="B40" s="5" t="s">
        <v>280</v>
      </c>
      <c r="C40" s="5" t="s">
        <v>281</v>
      </c>
      <c r="D40" s="5" t="s">
        <v>282</v>
      </c>
      <c r="E40" s="5" t="s">
        <v>283</v>
      </c>
      <c r="F40" s="5" t="s">
        <v>284</v>
      </c>
      <c r="G40" s="5" t="s">
        <v>285</v>
      </c>
      <c r="H40" s="6">
        <f t="shared" si="13"/>
        <v>7215924</v>
      </c>
      <c r="I40" s="7" t="str">
        <f t="shared" si="14"/>
        <v>No</v>
      </c>
      <c r="J40" s="7" t="str">
        <f t="shared" si="15"/>
        <v/>
      </c>
      <c r="K40" s="6">
        <f t="shared" si="16"/>
        <v>108020000</v>
      </c>
      <c r="L40" s="7" t="str">
        <f t="shared" si="17"/>
        <v/>
      </c>
      <c r="M40" s="8">
        <f t="shared" si="18"/>
        <v>5.4000000000000003E-3</v>
      </c>
      <c r="N40" s="7" t="str">
        <f t="shared" si="19"/>
        <v>Positive</v>
      </c>
      <c r="O40" s="7" t="str">
        <f t="shared" si="20"/>
        <v>Low</v>
      </c>
    </row>
    <row r="41" spans="1:15" x14ac:dyDescent="0.3">
      <c r="A41" s="5" t="s">
        <v>286</v>
      </c>
      <c r="B41" s="5" t="s">
        <v>287</v>
      </c>
      <c r="C41" s="5" t="s">
        <v>288</v>
      </c>
      <c r="D41" s="5" t="s">
        <v>289</v>
      </c>
      <c r="E41" s="5" t="s">
        <v>290</v>
      </c>
      <c r="F41" s="5" t="s">
        <v>291</v>
      </c>
      <c r="G41" s="5" t="s">
        <v>292</v>
      </c>
      <c r="H41" s="6">
        <f t="shared" si="13"/>
        <v>8143928</v>
      </c>
      <c r="I41" s="7" t="str">
        <f t="shared" si="14"/>
        <v>No</v>
      </c>
      <c r="J41" s="7" t="str">
        <f t="shared" si="15"/>
        <v/>
      </c>
      <c r="K41" s="6">
        <f t="shared" si="16"/>
        <v>107060000</v>
      </c>
      <c r="L41" s="7" t="str">
        <f t="shared" si="17"/>
        <v/>
      </c>
      <c r="M41" s="8">
        <f t="shared" si="18"/>
        <v>1.5900000000000001E-2</v>
      </c>
      <c r="N41" s="7" t="str">
        <f t="shared" si="19"/>
        <v>Positive</v>
      </c>
      <c r="O41" s="7" t="str">
        <f t="shared" si="20"/>
        <v>Low</v>
      </c>
    </row>
    <row r="42" spans="1:15" x14ac:dyDescent="0.3">
      <c r="A42" s="5" t="s">
        <v>293</v>
      </c>
      <c r="B42" s="5" t="s">
        <v>294</v>
      </c>
      <c r="C42" s="5" t="s">
        <v>295</v>
      </c>
      <c r="D42" s="5" t="s">
        <v>227</v>
      </c>
      <c r="E42" s="5" t="s">
        <v>296</v>
      </c>
      <c r="F42" s="5" t="s">
        <v>297</v>
      </c>
      <c r="G42" s="5" t="s">
        <v>298</v>
      </c>
      <c r="H42" s="6">
        <f t="shared" si="13"/>
        <v>25758134</v>
      </c>
      <c r="I42" s="7" t="str">
        <f t="shared" si="14"/>
        <v>Yes</v>
      </c>
      <c r="J42" s="7">
        <f t="shared" si="15"/>
        <v>8</v>
      </c>
      <c r="K42" s="6">
        <f t="shared" si="16"/>
        <v>72720000</v>
      </c>
      <c r="L42" s="7">
        <f t="shared" si="17"/>
        <v>14</v>
      </c>
      <c r="M42" s="8">
        <f t="shared" si="18"/>
        <v>1.14E-2</v>
      </c>
      <c r="N42" s="7" t="str">
        <f t="shared" si="19"/>
        <v>Positive</v>
      </c>
      <c r="O42" s="7" t="str">
        <f t="shared" si="20"/>
        <v>Medium</v>
      </c>
    </row>
    <row r="43" spans="1:15" x14ac:dyDescent="0.3">
      <c r="A43" s="5" t="s">
        <v>299</v>
      </c>
      <c r="B43" s="5" t="s">
        <v>300</v>
      </c>
      <c r="C43" s="5" t="s">
        <v>301</v>
      </c>
      <c r="D43" s="5" t="s">
        <v>302</v>
      </c>
      <c r="E43" s="5" t="s">
        <v>303</v>
      </c>
      <c r="F43" s="5" t="s">
        <v>304</v>
      </c>
      <c r="G43" s="5" t="s">
        <v>305</v>
      </c>
      <c r="H43" s="6">
        <f t="shared" si="13"/>
        <v>522812</v>
      </c>
      <c r="I43" s="7" t="str">
        <f t="shared" si="14"/>
        <v>Yes</v>
      </c>
      <c r="J43" s="7">
        <f t="shared" si="15"/>
        <v>48</v>
      </c>
      <c r="K43" s="6">
        <f t="shared" si="16"/>
        <v>72680000</v>
      </c>
      <c r="L43" s="7">
        <f t="shared" si="17"/>
        <v>15</v>
      </c>
      <c r="M43" s="8">
        <f t="shared" si="18"/>
        <v>6.8999999999999999E-3</v>
      </c>
      <c r="N43" s="7" t="str">
        <f t="shared" si="19"/>
        <v>Positive</v>
      </c>
      <c r="O43" s="7" t="str">
        <f t="shared" si="20"/>
        <v>Low</v>
      </c>
    </row>
    <row r="44" spans="1:15" x14ac:dyDescent="0.3">
      <c r="A44" s="5" t="s">
        <v>306</v>
      </c>
      <c r="B44" s="5" t="s">
        <v>307</v>
      </c>
      <c r="C44" s="5" t="s">
        <v>308</v>
      </c>
      <c r="D44" s="5" t="s">
        <v>309</v>
      </c>
      <c r="E44" s="5" t="s">
        <v>310</v>
      </c>
      <c r="F44" s="5" t="s">
        <v>311</v>
      </c>
      <c r="G44" s="5" t="s">
        <v>312</v>
      </c>
      <c r="H44" s="6">
        <f t="shared" si="13"/>
        <v>15717380</v>
      </c>
      <c r="I44" s="7" t="str">
        <f t="shared" si="14"/>
        <v>No</v>
      </c>
      <c r="J44" s="7" t="str">
        <f t="shared" si="15"/>
        <v/>
      </c>
      <c r="K44" s="6">
        <f t="shared" si="16"/>
        <v>72350000</v>
      </c>
      <c r="L44" s="7" t="str">
        <f t="shared" si="17"/>
        <v/>
      </c>
      <c r="M44" s="8">
        <f t="shared" si="18"/>
        <v>1.8800000000000001E-2</v>
      </c>
      <c r="N44" s="7" t="str">
        <f t="shared" si="19"/>
        <v>Positive</v>
      </c>
      <c r="O44" s="7" t="str">
        <f t="shared" si="20"/>
        <v>Medium</v>
      </c>
    </row>
    <row r="45" spans="1:15" x14ac:dyDescent="0.3">
      <c r="A45" s="5" t="s">
        <v>313</v>
      </c>
      <c r="B45" s="5" t="s">
        <v>314</v>
      </c>
      <c r="C45" s="5" t="s">
        <v>315</v>
      </c>
      <c r="D45" s="5" t="s">
        <v>316</v>
      </c>
      <c r="E45" s="5" t="s">
        <v>317</v>
      </c>
      <c r="F45" s="5" t="s">
        <v>318</v>
      </c>
      <c r="G45" s="5" t="s">
        <v>319</v>
      </c>
      <c r="H45" s="6">
        <f t="shared" si="13"/>
        <v>4873644</v>
      </c>
      <c r="I45" s="7" t="str">
        <f t="shared" si="14"/>
        <v>No</v>
      </c>
      <c r="J45" s="7" t="str">
        <f t="shared" si="15"/>
        <v/>
      </c>
      <c r="K45" s="6">
        <f t="shared" si="16"/>
        <v>72360000</v>
      </c>
      <c r="L45" s="7" t="str">
        <f t="shared" si="17"/>
        <v/>
      </c>
      <c r="M45" s="8">
        <f t="shared" si="18"/>
        <v>1.4E-3</v>
      </c>
      <c r="N45" s="7" t="str">
        <f t="shared" si="19"/>
        <v>Positive</v>
      </c>
      <c r="O45" s="7" t="str">
        <f t="shared" si="20"/>
        <v>Low</v>
      </c>
    </row>
    <row r="46" spans="1:15" x14ac:dyDescent="0.3">
      <c r="A46" s="5" t="s">
        <v>320</v>
      </c>
      <c r="B46" s="5" t="s">
        <v>321</v>
      </c>
      <c r="C46" s="5" t="s">
        <v>322</v>
      </c>
      <c r="D46" s="5" t="s">
        <v>323</v>
      </c>
      <c r="E46" s="5" t="s">
        <v>324</v>
      </c>
      <c r="F46" s="5" t="s">
        <v>325</v>
      </c>
      <c r="G46" s="5" t="s">
        <v>326</v>
      </c>
      <c r="H46" s="6">
        <f t="shared" si="13"/>
        <v>1356568</v>
      </c>
      <c r="I46" s="7" t="str">
        <f t="shared" si="14"/>
        <v>Yes</v>
      </c>
      <c r="J46" s="7">
        <f t="shared" si="15"/>
        <v>35</v>
      </c>
      <c r="K46" s="6">
        <f t="shared" si="16"/>
        <v>72370000</v>
      </c>
      <c r="L46" s="7">
        <f t="shared" si="17"/>
        <v>16</v>
      </c>
      <c r="M46" s="8">
        <f t="shared" si="18"/>
        <v>1.6999999999999999E-3</v>
      </c>
      <c r="N46" s="7" t="str">
        <f t="shared" si="19"/>
        <v>Positive</v>
      </c>
      <c r="O46" s="7" t="str">
        <f t="shared" si="20"/>
        <v>Low</v>
      </c>
    </row>
    <row r="47" spans="1:15" x14ac:dyDescent="0.3">
      <c r="A47" s="5" t="s">
        <v>327</v>
      </c>
      <c r="B47" s="5" t="s">
        <v>328</v>
      </c>
      <c r="C47" s="5" t="s">
        <v>329</v>
      </c>
      <c r="D47" s="5" t="s">
        <v>330</v>
      </c>
      <c r="E47" s="5" t="s">
        <v>331</v>
      </c>
      <c r="F47" s="5" t="s">
        <v>332</v>
      </c>
      <c r="G47" s="5" t="s">
        <v>333</v>
      </c>
      <c r="H47" s="6">
        <f t="shared" si="13"/>
        <v>9190572</v>
      </c>
      <c r="I47" s="7" t="str">
        <f t="shared" si="14"/>
        <v>Yes</v>
      </c>
      <c r="J47" s="7">
        <f t="shared" si="15"/>
        <v>13</v>
      </c>
      <c r="K47" s="6">
        <f t="shared" si="16"/>
        <v>71810000</v>
      </c>
      <c r="L47" s="7">
        <f t="shared" si="17"/>
        <v>17</v>
      </c>
      <c r="M47" s="8">
        <f t="shared" si="18"/>
        <v>1.09E-2</v>
      </c>
      <c r="N47" s="7" t="str">
        <f t="shared" si="19"/>
        <v>Positive</v>
      </c>
      <c r="O47" s="7" t="str">
        <f t="shared" si="20"/>
        <v>Low</v>
      </c>
    </row>
    <row r="48" spans="1:15" x14ac:dyDescent="0.3">
      <c r="A48" s="5" t="s">
        <v>334</v>
      </c>
      <c r="B48" s="5" t="s">
        <v>335</v>
      </c>
      <c r="C48" s="5" t="s">
        <v>336</v>
      </c>
      <c r="D48" s="5" t="s">
        <v>337</v>
      </c>
      <c r="E48" s="5" t="s">
        <v>338</v>
      </c>
      <c r="F48" s="5" t="s">
        <v>339</v>
      </c>
      <c r="G48" s="5" t="s">
        <v>340</v>
      </c>
      <c r="H48" s="6">
        <f t="shared" si="13"/>
        <v>7399528</v>
      </c>
      <c r="I48" s="7" t="str">
        <f t="shared" si="14"/>
        <v>Yes</v>
      </c>
      <c r="J48" s="7">
        <f t="shared" si="15"/>
        <v>15</v>
      </c>
      <c r="K48" s="6">
        <f t="shared" si="16"/>
        <v>71330000</v>
      </c>
      <c r="L48" s="7">
        <f t="shared" si="17"/>
        <v>18</v>
      </c>
      <c r="M48" s="8">
        <f t="shared" si="18"/>
        <v>3.4200000000000001E-2</v>
      </c>
      <c r="N48" s="7" t="str">
        <f t="shared" si="19"/>
        <v>Positive</v>
      </c>
      <c r="O48" s="7" t="str">
        <f t="shared" si="20"/>
        <v>Low</v>
      </c>
    </row>
    <row r="49" spans="1:15" x14ac:dyDescent="0.3">
      <c r="A49" s="5" t="s">
        <v>341</v>
      </c>
      <c r="B49" s="5" t="s">
        <v>342</v>
      </c>
      <c r="C49" s="5" t="s">
        <v>343</v>
      </c>
      <c r="D49" s="5" t="s">
        <v>344</v>
      </c>
      <c r="E49" s="5" t="s">
        <v>345</v>
      </c>
      <c r="F49" s="5" t="s">
        <v>346</v>
      </c>
      <c r="G49" s="5" t="s">
        <v>347</v>
      </c>
      <c r="H49" s="6">
        <f t="shared" si="13"/>
        <v>12716009</v>
      </c>
      <c r="I49" s="7" t="str">
        <f t="shared" si="14"/>
        <v>Yes</v>
      </c>
      <c r="J49" s="7">
        <f t="shared" si="15"/>
        <v>12</v>
      </c>
      <c r="K49" s="6">
        <f t="shared" si="16"/>
        <v>71270000</v>
      </c>
      <c r="L49" s="7">
        <f t="shared" si="17"/>
        <v>19</v>
      </c>
      <c r="M49" s="8">
        <f t="shared" si="18"/>
        <v>1.61E-2</v>
      </c>
      <c r="N49" s="7" t="str">
        <f t="shared" si="19"/>
        <v>Positive</v>
      </c>
      <c r="O49" s="7" t="str">
        <f t="shared" si="20"/>
        <v>Medium</v>
      </c>
    </row>
    <row r="50" spans="1:15" x14ac:dyDescent="0.3">
      <c r="A50" s="5" t="s">
        <v>348</v>
      </c>
      <c r="B50" s="5" t="s">
        <v>349</v>
      </c>
      <c r="C50" s="5" t="s">
        <v>350</v>
      </c>
      <c r="D50" s="5" t="s">
        <v>351</v>
      </c>
      <c r="E50" s="5" t="s">
        <v>352</v>
      </c>
      <c r="F50" s="5" t="s">
        <v>353</v>
      </c>
      <c r="G50" s="5" t="s">
        <v>354</v>
      </c>
      <c r="H50" s="6">
        <f t="shared" si="13"/>
        <v>135025163</v>
      </c>
      <c r="I50" s="7" t="str">
        <f t="shared" si="14"/>
        <v>No</v>
      </c>
      <c r="J50" s="7" t="str">
        <f t="shared" si="15"/>
        <v/>
      </c>
      <c r="K50" s="6">
        <f t="shared" si="16"/>
        <v>71500000</v>
      </c>
      <c r="L50" s="7" t="str">
        <f t="shared" si="17"/>
        <v/>
      </c>
      <c r="M50" s="8">
        <f t="shared" si="18"/>
        <v>2.4400000000000002E-2</v>
      </c>
      <c r="N50" s="7" t="str">
        <f t="shared" si="19"/>
        <v>Positive</v>
      </c>
      <c r="O50" s="7" t="str">
        <f t="shared" si="20"/>
        <v>Medium</v>
      </c>
    </row>
    <row r="51" spans="1:15" x14ac:dyDescent="0.3">
      <c r="A51" s="5" t="s">
        <v>355</v>
      </c>
      <c r="B51" s="5" t="s">
        <v>356</v>
      </c>
      <c r="C51" s="5" t="s">
        <v>357</v>
      </c>
      <c r="D51" s="5" t="s">
        <v>358</v>
      </c>
      <c r="E51" s="5" t="s">
        <v>359</v>
      </c>
      <c r="F51" s="5" t="s">
        <v>360</v>
      </c>
      <c r="G51" s="5" t="s">
        <v>361</v>
      </c>
      <c r="H51" s="6">
        <f t="shared" si="13"/>
        <v>12909</v>
      </c>
      <c r="I51" s="7" t="str">
        <f t="shared" si="14"/>
        <v>No</v>
      </c>
      <c r="J51" s="7" t="str">
        <f t="shared" si="15"/>
        <v/>
      </c>
      <c r="K51" s="6">
        <f t="shared" si="16"/>
        <v>71470000</v>
      </c>
      <c r="L51" s="7" t="str">
        <f t="shared" si="17"/>
        <v/>
      </c>
      <c r="M51" s="8">
        <f t="shared" si="18"/>
        <v>2.0000000000000001E-4</v>
      </c>
      <c r="N51" s="7" t="str">
        <f t="shared" si="19"/>
        <v>Positive</v>
      </c>
      <c r="O51" s="7" t="str">
        <f t="shared" si="20"/>
        <v>Low</v>
      </c>
    </row>
    <row r="52" spans="1:15" x14ac:dyDescent="0.3">
      <c r="A52" s="5" t="s">
        <v>362</v>
      </c>
      <c r="B52" s="5" t="s">
        <v>363</v>
      </c>
      <c r="C52" s="5" t="s">
        <v>364</v>
      </c>
      <c r="D52" s="5" t="s">
        <v>365</v>
      </c>
      <c r="E52" s="5" t="s">
        <v>366</v>
      </c>
      <c r="F52" s="5" t="s">
        <v>367</v>
      </c>
      <c r="G52" s="5" t="s">
        <v>368</v>
      </c>
      <c r="H52" s="6">
        <f t="shared" si="13"/>
        <v>16850030</v>
      </c>
      <c r="I52" s="7" t="str">
        <f t="shared" si="14"/>
        <v>No</v>
      </c>
      <c r="J52" s="7" t="str">
        <f t="shared" si="15"/>
        <v/>
      </c>
      <c r="K52" s="6">
        <f t="shared" si="16"/>
        <v>56450000</v>
      </c>
      <c r="L52" s="7" t="str">
        <f t="shared" si="17"/>
        <v/>
      </c>
      <c r="M52" s="8">
        <f t="shared" si="18"/>
        <v>5.3E-3</v>
      </c>
      <c r="N52" s="7" t="str">
        <f t="shared" si="19"/>
        <v>Positive</v>
      </c>
      <c r="O52" s="7" t="str">
        <f t="shared" si="20"/>
        <v>Medium</v>
      </c>
    </row>
    <row r="53" spans="1:15" x14ac:dyDescent="0.3">
      <c r="A53" s="5" t="s">
        <v>369</v>
      </c>
      <c r="B53" s="5" t="s">
        <v>370</v>
      </c>
      <c r="C53" s="5" t="s">
        <v>371</v>
      </c>
      <c r="D53" s="5" t="s">
        <v>372</v>
      </c>
      <c r="E53" s="5" t="s">
        <v>373</v>
      </c>
      <c r="F53" s="5" t="s">
        <v>374</v>
      </c>
      <c r="G53" s="5" t="s">
        <v>375</v>
      </c>
      <c r="H53" s="6">
        <f t="shared" si="13"/>
        <v>448016</v>
      </c>
      <c r="I53" s="7" t="str">
        <f t="shared" si="14"/>
        <v>No</v>
      </c>
      <c r="J53" s="7" t="str">
        <f t="shared" si="15"/>
        <v/>
      </c>
      <c r="K53" s="6">
        <f t="shared" si="16"/>
        <v>51760000</v>
      </c>
      <c r="L53" s="7" t="str">
        <f t="shared" si="17"/>
        <v/>
      </c>
      <c r="M53" s="8">
        <f t="shared" si="18"/>
        <v>1.32E-2</v>
      </c>
      <c r="N53" s="7" t="str">
        <f t="shared" si="19"/>
        <v>Positive</v>
      </c>
      <c r="O53" s="7" t="str">
        <f t="shared" si="20"/>
        <v>Low</v>
      </c>
    </row>
    <row r="54" spans="1:15" x14ac:dyDescent="0.3">
      <c r="A54" s="5" t="s">
        <v>376</v>
      </c>
      <c r="B54" s="5" t="s">
        <v>377</v>
      </c>
      <c r="C54" s="5" t="s">
        <v>378</v>
      </c>
      <c r="D54" s="5" t="s">
        <v>379</v>
      </c>
      <c r="E54" s="5" t="s">
        <v>380</v>
      </c>
      <c r="F54" s="5" t="s">
        <v>381</v>
      </c>
      <c r="G54" s="5" t="s">
        <v>382</v>
      </c>
      <c r="H54" s="6">
        <f t="shared" si="13"/>
        <v>817224</v>
      </c>
      <c r="I54" s="7" t="str">
        <f t="shared" si="14"/>
        <v>Yes</v>
      </c>
      <c r="J54" s="7">
        <f t="shared" si="15"/>
        <v>43</v>
      </c>
      <c r="K54" s="6">
        <f t="shared" si="16"/>
        <v>51500000</v>
      </c>
      <c r="L54" s="7">
        <f t="shared" si="17"/>
        <v>20</v>
      </c>
      <c r="M54" s="8">
        <f t="shared" si="18"/>
        <v>1.8E-3</v>
      </c>
      <c r="N54" s="7" t="str">
        <f t="shared" si="19"/>
        <v>Positive</v>
      </c>
      <c r="O54" s="7" t="str">
        <f t="shared" si="20"/>
        <v>Low</v>
      </c>
    </row>
    <row r="55" spans="1:15" x14ac:dyDescent="0.3">
      <c r="A55" s="5" t="s">
        <v>383</v>
      </c>
      <c r="B55" s="5" t="s">
        <v>384</v>
      </c>
      <c r="C55" s="5" t="s">
        <v>385</v>
      </c>
      <c r="D55" s="5" t="s">
        <v>386</v>
      </c>
      <c r="E55" s="5" t="s">
        <v>387</v>
      </c>
      <c r="F55" s="5" t="s">
        <v>388</v>
      </c>
      <c r="G55" s="5" t="s">
        <v>389</v>
      </c>
      <c r="H55" s="6">
        <f t="shared" si="13"/>
        <v>5590436</v>
      </c>
      <c r="I55" s="7" t="str">
        <f t="shared" si="14"/>
        <v>No</v>
      </c>
      <c r="J55" s="7" t="str">
        <f t="shared" si="15"/>
        <v/>
      </c>
      <c r="K55" s="6">
        <f t="shared" si="16"/>
        <v>51480000</v>
      </c>
      <c r="L55" s="7" t="str">
        <f t="shared" si="17"/>
        <v/>
      </c>
      <c r="M55" s="8">
        <f t="shared" si="18"/>
        <v>1.5299999999999999E-2</v>
      </c>
      <c r="N55" s="7" t="str">
        <f t="shared" si="19"/>
        <v>Positive</v>
      </c>
      <c r="O55" s="7" t="str">
        <f t="shared" si="20"/>
        <v>Low</v>
      </c>
    </row>
    <row r="56" spans="1:15" x14ac:dyDescent="0.3">
      <c r="A56" s="5" t="s">
        <v>390</v>
      </c>
      <c r="B56" s="5" t="s">
        <v>391</v>
      </c>
      <c r="C56" s="5" t="s">
        <v>392</v>
      </c>
      <c r="D56" s="5" t="s">
        <v>393</v>
      </c>
      <c r="E56" s="5" t="s">
        <v>394</v>
      </c>
      <c r="F56" s="5" t="s">
        <v>395</v>
      </c>
      <c r="G56" s="5" t="s">
        <v>396</v>
      </c>
      <c r="H56" s="6">
        <f t="shared" si="13"/>
        <v>2536218</v>
      </c>
      <c r="I56" s="7" t="str">
        <f t="shared" si="14"/>
        <v>No</v>
      </c>
      <c r="J56" s="7" t="str">
        <f t="shared" si="15"/>
        <v/>
      </c>
      <c r="K56" s="6">
        <f t="shared" si="16"/>
        <v>51370000</v>
      </c>
      <c r="L56" s="7" t="str">
        <f t="shared" si="17"/>
        <v/>
      </c>
      <c r="M56" s="8">
        <f t="shared" si="18"/>
        <v>9.1999999999999998E-3</v>
      </c>
      <c r="N56" s="7" t="str">
        <f t="shared" si="19"/>
        <v>Positive</v>
      </c>
      <c r="O56" s="7" t="str">
        <f t="shared" si="20"/>
        <v>Low</v>
      </c>
    </row>
    <row r="57" spans="1:15" x14ac:dyDescent="0.3">
      <c r="A57" s="5" t="s">
        <v>397</v>
      </c>
      <c r="B57" s="5" t="s">
        <v>398</v>
      </c>
      <c r="C57" s="5" t="s">
        <v>399</v>
      </c>
      <c r="D57" s="5" t="s">
        <v>400</v>
      </c>
      <c r="E57" s="5" t="s">
        <v>401</v>
      </c>
      <c r="F57" s="5" t="s">
        <v>402</v>
      </c>
      <c r="G57" s="5" t="s">
        <v>403</v>
      </c>
      <c r="H57" s="6">
        <f t="shared" si="13"/>
        <v>22680605</v>
      </c>
      <c r="I57" s="7" t="str">
        <f t="shared" si="14"/>
        <v>Yes</v>
      </c>
      <c r="J57" s="7">
        <f t="shared" si="15"/>
        <v>10</v>
      </c>
      <c r="K57" s="6">
        <f t="shared" si="16"/>
        <v>51310000</v>
      </c>
      <c r="L57" s="7">
        <f t="shared" si="17"/>
        <v>21</v>
      </c>
      <c r="M57" s="8">
        <f t="shared" si="18"/>
        <v>6.9999999999999999E-4</v>
      </c>
      <c r="N57" s="7" t="str">
        <f t="shared" si="19"/>
        <v>Positive</v>
      </c>
      <c r="O57" s="7" t="str">
        <f t="shared" si="20"/>
        <v>Medium</v>
      </c>
    </row>
    <row r="58" spans="1:15" x14ac:dyDescent="0.3">
      <c r="A58" s="5" t="s">
        <v>404</v>
      </c>
      <c r="B58" s="5" t="s">
        <v>405</v>
      </c>
      <c r="C58" s="5" t="s">
        <v>406</v>
      </c>
      <c r="D58" s="5" t="s">
        <v>407</v>
      </c>
      <c r="E58" s="5" t="s">
        <v>408</v>
      </c>
      <c r="F58" s="5" t="s">
        <v>409</v>
      </c>
      <c r="G58" s="5" t="s">
        <v>410</v>
      </c>
      <c r="H58" s="6">
        <f t="shared" si="13"/>
        <v>1414981</v>
      </c>
      <c r="I58" s="7" t="str">
        <f t="shared" si="14"/>
        <v>Yes</v>
      </c>
      <c r="J58" s="7">
        <f t="shared" si="15"/>
        <v>33</v>
      </c>
      <c r="K58" s="6">
        <f t="shared" si="16"/>
        <v>51260000</v>
      </c>
      <c r="L58" s="7">
        <f t="shared" si="17"/>
        <v>22</v>
      </c>
      <c r="M58" s="8">
        <f t="shared" si="18"/>
        <v>5.7000000000000002E-3</v>
      </c>
      <c r="N58" s="7" t="str">
        <f t="shared" si="19"/>
        <v>Positive</v>
      </c>
      <c r="O58" s="7" t="str">
        <f t="shared" si="20"/>
        <v>Low</v>
      </c>
    </row>
    <row r="59" spans="1:15" x14ac:dyDescent="0.3">
      <c r="A59" s="5" t="s">
        <v>411</v>
      </c>
      <c r="B59" s="5" t="s">
        <v>412</v>
      </c>
      <c r="C59" s="5" t="s">
        <v>413</v>
      </c>
      <c r="D59" s="5" t="s">
        <v>168</v>
      </c>
      <c r="E59" s="5" t="s">
        <v>414</v>
      </c>
      <c r="F59" s="5" t="s">
        <v>415</v>
      </c>
      <c r="G59" s="5" t="s">
        <v>416</v>
      </c>
      <c r="H59" s="6">
        <f t="shared" si="13"/>
        <v>3358220</v>
      </c>
      <c r="I59" s="7" t="str">
        <f t="shared" si="14"/>
        <v>No</v>
      </c>
      <c r="J59" s="7" t="str">
        <f t="shared" si="15"/>
        <v/>
      </c>
      <c r="K59" s="6">
        <f t="shared" si="16"/>
        <v>50980000</v>
      </c>
      <c r="L59" s="7" t="str">
        <f t="shared" si="17"/>
        <v/>
      </c>
      <c r="M59" s="8">
        <f t="shared" si="18"/>
        <v>4.4999999999999997E-3</v>
      </c>
      <c r="N59" s="7" t="str">
        <f t="shared" si="19"/>
        <v>Positive</v>
      </c>
      <c r="O59" s="7" t="str">
        <f t="shared" si="20"/>
        <v>Low</v>
      </c>
    </row>
    <row r="60" spans="1:15" x14ac:dyDescent="0.3">
      <c r="A60" s="5" t="s">
        <v>417</v>
      </c>
      <c r="B60" s="5" t="s">
        <v>418</v>
      </c>
      <c r="C60" s="5" t="s">
        <v>419</v>
      </c>
      <c r="D60" s="5" t="s">
        <v>51</v>
      </c>
      <c r="E60" s="5" t="s">
        <v>420</v>
      </c>
      <c r="F60" s="5" t="s">
        <v>421</v>
      </c>
      <c r="G60" s="5" t="s">
        <v>422</v>
      </c>
      <c r="H60" s="6">
        <f t="shared" si="13"/>
        <v>101491</v>
      </c>
      <c r="I60" s="7" t="str">
        <f t="shared" si="14"/>
        <v>No</v>
      </c>
      <c r="J60" s="7" t="str">
        <f t="shared" si="15"/>
        <v/>
      </c>
      <c r="K60" s="6">
        <f t="shared" si="16"/>
        <v>50880000</v>
      </c>
      <c r="L60" s="7" t="str">
        <f t="shared" si="17"/>
        <v/>
      </c>
      <c r="M60" s="8">
        <f t="shared" si="18"/>
        <v>1E-3</v>
      </c>
      <c r="N60" s="7" t="str">
        <f t="shared" si="19"/>
        <v>Positive</v>
      </c>
      <c r="O60" s="7" t="str">
        <f t="shared" si="20"/>
        <v>Low</v>
      </c>
    </row>
    <row r="61" spans="1:15" x14ac:dyDescent="0.3">
      <c r="A61" s="5" t="s">
        <v>423</v>
      </c>
      <c r="B61" s="5" t="s">
        <v>424</v>
      </c>
      <c r="C61" s="5" t="s">
        <v>425</v>
      </c>
      <c r="D61" s="5" t="s">
        <v>426</v>
      </c>
      <c r="E61" s="5" t="s">
        <v>427</v>
      </c>
      <c r="F61" s="5" t="s">
        <v>428</v>
      </c>
      <c r="G61" s="5" t="s">
        <v>429</v>
      </c>
      <c r="H61" s="6">
        <f t="shared" si="13"/>
        <v>21125</v>
      </c>
      <c r="I61" s="7" t="str">
        <f t="shared" si="14"/>
        <v>Yes</v>
      </c>
      <c r="J61" s="7">
        <f t="shared" si="15"/>
        <v>73</v>
      </c>
      <c r="K61" s="6">
        <f t="shared" si="16"/>
        <v>50560000</v>
      </c>
      <c r="L61" s="7">
        <f t="shared" si="17"/>
        <v>23</v>
      </c>
      <c r="M61" s="8">
        <f t="shared" si="18"/>
        <v>2.8199999999999999E-2</v>
      </c>
      <c r="N61" s="7" t="str">
        <f t="shared" si="19"/>
        <v>Positive</v>
      </c>
      <c r="O61" s="7" t="str">
        <f t="shared" si="20"/>
        <v>Low</v>
      </c>
    </row>
    <row r="62" spans="1:15" x14ac:dyDescent="0.3">
      <c r="A62" s="5" t="s">
        <v>430</v>
      </c>
      <c r="B62" s="5" t="s">
        <v>431</v>
      </c>
      <c r="C62" s="5" t="s">
        <v>432</v>
      </c>
      <c r="D62" s="5" t="s">
        <v>433</v>
      </c>
      <c r="E62" s="5" t="s">
        <v>434</v>
      </c>
      <c r="F62" s="5" t="s">
        <v>435</v>
      </c>
      <c r="G62" s="5" t="s">
        <v>436</v>
      </c>
      <c r="H62" s="6">
        <f t="shared" si="13"/>
        <v>17173</v>
      </c>
      <c r="I62" s="7" t="str">
        <f t="shared" si="14"/>
        <v>No</v>
      </c>
      <c r="J62" s="7" t="str">
        <f t="shared" si="15"/>
        <v/>
      </c>
      <c r="K62" s="6">
        <f t="shared" si="16"/>
        <v>37100000</v>
      </c>
      <c r="L62" s="7" t="str">
        <f t="shared" si="17"/>
        <v/>
      </c>
      <c r="M62" s="8">
        <f t="shared" si="18"/>
        <v>1.7299999999999999E-2</v>
      </c>
      <c r="N62" s="7" t="str">
        <f t="shared" si="19"/>
        <v>Positive</v>
      </c>
      <c r="O62" s="7" t="str">
        <f t="shared" si="20"/>
        <v>Low</v>
      </c>
    </row>
    <row r="63" spans="1:15" x14ac:dyDescent="0.3">
      <c r="A63" s="5" t="s">
        <v>437</v>
      </c>
      <c r="B63" s="5" t="s">
        <v>438</v>
      </c>
      <c r="C63" s="5" t="s">
        <v>439</v>
      </c>
      <c r="D63" s="5" t="s">
        <v>440</v>
      </c>
      <c r="E63" s="5" t="s">
        <v>441</v>
      </c>
      <c r="F63" s="5" t="s">
        <v>442</v>
      </c>
      <c r="G63" s="5" t="s">
        <v>443</v>
      </c>
      <c r="H63" s="6">
        <f t="shared" si="13"/>
        <v>1913531</v>
      </c>
      <c r="I63" s="7" t="str">
        <f t="shared" si="14"/>
        <v>No</v>
      </c>
      <c r="J63" s="7" t="str">
        <f t="shared" si="15"/>
        <v/>
      </c>
      <c r="K63" s="6">
        <f t="shared" si="16"/>
        <v>36940000</v>
      </c>
      <c r="L63" s="7" t="str">
        <f t="shared" si="17"/>
        <v/>
      </c>
      <c r="M63" s="8">
        <f t="shared" si="18"/>
        <v>3.0999999999999999E-3</v>
      </c>
      <c r="N63" s="7" t="str">
        <f t="shared" si="19"/>
        <v>Positive</v>
      </c>
      <c r="O63" s="7" t="str">
        <f t="shared" si="20"/>
        <v>Low</v>
      </c>
    </row>
    <row r="64" spans="1:15" x14ac:dyDescent="0.3">
      <c r="A64" s="5" t="s">
        <v>444</v>
      </c>
      <c r="B64" s="5" t="s">
        <v>445</v>
      </c>
      <c r="C64" s="5" t="s">
        <v>446</v>
      </c>
      <c r="D64" s="5" t="s">
        <v>447</v>
      </c>
      <c r="E64" s="5" t="s">
        <v>448</v>
      </c>
      <c r="F64" s="5" t="s">
        <v>449</v>
      </c>
      <c r="G64" s="5" t="s">
        <v>450</v>
      </c>
      <c r="H64" s="6">
        <f t="shared" si="13"/>
        <v>5008504</v>
      </c>
      <c r="I64" s="7" t="str">
        <f t="shared" si="14"/>
        <v>Yes</v>
      </c>
      <c r="J64" s="7">
        <f t="shared" si="15"/>
        <v>18</v>
      </c>
      <c r="K64" s="6">
        <f t="shared" si="16"/>
        <v>36900000</v>
      </c>
      <c r="L64" s="7">
        <f t="shared" si="17"/>
        <v>24</v>
      </c>
      <c r="M64" s="8">
        <f t="shared" si="18"/>
        <v>4.8999999999999998E-3</v>
      </c>
      <c r="N64" s="7" t="str">
        <f t="shared" si="19"/>
        <v>Positive</v>
      </c>
      <c r="O64" s="7" t="str">
        <f t="shared" si="20"/>
        <v>Low</v>
      </c>
    </row>
    <row r="65" spans="1:15" x14ac:dyDescent="0.3">
      <c r="A65" s="5" t="s">
        <v>451</v>
      </c>
      <c r="B65" s="5" t="s">
        <v>452</v>
      </c>
      <c r="C65" s="5" t="s">
        <v>453</v>
      </c>
      <c r="D65" s="5" t="s">
        <v>454</v>
      </c>
      <c r="E65" s="5" t="s">
        <v>455</v>
      </c>
      <c r="F65" s="5" t="s">
        <v>456</v>
      </c>
      <c r="G65" s="5" t="s">
        <v>457</v>
      </c>
      <c r="H65" s="6">
        <f t="shared" si="13"/>
        <v>1669915</v>
      </c>
      <c r="I65" s="7" t="str">
        <f t="shared" si="14"/>
        <v>Yes</v>
      </c>
      <c r="J65" s="7">
        <f t="shared" si="15"/>
        <v>30</v>
      </c>
      <c r="K65" s="6">
        <f t="shared" si="16"/>
        <v>36780000</v>
      </c>
      <c r="L65" s="7">
        <f t="shared" si="17"/>
        <v>25</v>
      </c>
      <c r="M65" s="8">
        <f t="shared" si="18"/>
        <v>2.5000000000000001E-3</v>
      </c>
      <c r="N65" s="7" t="str">
        <f t="shared" si="19"/>
        <v>Positive</v>
      </c>
      <c r="O65" s="7" t="str">
        <f t="shared" si="20"/>
        <v>Low</v>
      </c>
    </row>
    <row r="66" spans="1:15" x14ac:dyDescent="0.3">
      <c r="A66" s="5" t="s">
        <v>458</v>
      </c>
      <c r="B66" s="5" t="s">
        <v>459</v>
      </c>
      <c r="C66" s="5" t="s">
        <v>460</v>
      </c>
      <c r="D66" s="5" t="s">
        <v>38</v>
      </c>
      <c r="E66" s="5" t="s">
        <v>461</v>
      </c>
      <c r="F66" s="5" t="s">
        <v>462</v>
      </c>
      <c r="G66" s="5" t="s">
        <v>463</v>
      </c>
      <c r="H66" s="6">
        <f t="shared" ref="H66:H97" si="21">IFERROR(VALUE(SUBSTITUTE(SUBSTITUTE(F66,"$",""),",","")),0)</f>
        <v>260802</v>
      </c>
      <c r="I66" s="7" t="str">
        <f t="shared" ref="I66:I97" si="22">IF(OR(UPPER(LEFT(A66,1))="A",UPPER(LEFT(A66,1))="E",UPPER(LEFT(A66,1))="I",UPPER(LEFT(A66,1))="O",UPPER(LEFT(A66,1))="U",UPPER(LEFT(A66,1))="B",UPPER(LEFT(A66,1))="C",UPPER(LEFT(A66,1))="D"),"Yes","No")</f>
        <v>No</v>
      </c>
      <c r="J66" s="7" t="str">
        <f t="shared" ref="J66:J97" si="23">IF(I66="Yes",SUMPRODUCT(($I$2:$I$201="Yes")*($H$2:$H$201&gt;H66))+1,"")</f>
        <v/>
      </c>
      <c r="K66" s="6">
        <f t="shared" ref="K66:K97" si="24">IFERROR(IF(RIGHT(E66,1)="T",VALUE(SUBSTITUTE(SUBSTITUTE(LEFT(E66,LEN(E66)-1),"$",""),",",""))*1000000000000,IF(RIGHT(E66,1)="B",VALUE(SUBSTITUTE(SUBSTITUTE(LEFT(E66,LEN(E66)-1),"$",""),",",""))*1000000000,IF(RIGHT(E66,1)="M",VALUE(SUBSTITUTE(SUBSTITUTE(LEFT(E66,LEN(E66)-1),"$",""),",",""))*1000000,VALUE(SUBSTITUTE(SUBSTITUTE(E66,"$",""),",",""))))),0)</f>
        <v>36730000</v>
      </c>
      <c r="L66" s="7" t="str">
        <f t="shared" ref="L66:L97" si="25">IF(I66="Yes",SUMPRODUCT(($I$2:$I$201="Yes")*($K$2:$K$201&gt;K66))+1,"")</f>
        <v/>
      </c>
      <c r="M66" s="8">
        <f t="shared" ref="M66:M97" si="26">IFERROR(VALUE(D66),0)</f>
        <v>4.0000000000000002E-4</v>
      </c>
      <c r="N66" s="7" t="str">
        <f t="shared" ref="N66:N97" si="27">IF(M66&gt;0,"Positive",IF(M66&lt;0,"Negative","Flat"))</f>
        <v>Positive</v>
      </c>
      <c r="O66" s="7" t="str">
        <f t="shared" ref="O66:O97" si="28">IF(H66&gt;=1000000000,"High",IF(H66&gt;=10000000,"Medium","Low"))</f>
        <v>Low</v>
      </c>
    </row>
    <row r="67" spans="1:15" x14ac:dyDescent="0.3">
      <c r="A67" s="5" t="s">
        <v>464</v>
      </c>
      <c r="B67" s="5" t="s">
        <v>465</v>
      </c>
      <c r="C67" s="5" t="s">
        <v>466</v>
      </c>
      <c r="D67" s="5" t="s">
        <v>467</v>
      </c>
      <c r="E67" s="5" t="s">
        <v>468</v>
      </c>
      <c r="F67" s="5" t="s">
        <v>469</v>
      </c>
      <c r="G67" s="5" t="s">
        <v>470</v>
      </c>
      <c r="H67" s="6">
        <f t="shared" si="21"/>
        <v>867656</v>
      </c>
      <c r="I67" s="7" t="str">
        <f t="shared" si="22"/>
        <v>Yes</v>
      </c>
      <c r="J67" s="7">
        <f t="shared" si="23"/>
        <v>41</v>
      </c>
      <c r="K67" s="6">
        <f t="shared" si="24"/>
        <v>36400000</v>
      </c>
      <c r="L67" s="7">
        <f t="shared" si="25"/>
        <v>26</v>
      </c>
      <c r="M67" s="8">
        <f t="shared" si="26"/>
        <v>5.0000000000000001E-4</v>
      </c>
      <c r="N67" s="7" t="str">
        <f t="shared" si="27"/>
        <v>Positive</v>
      </c>
      <c r="O67" s="7" t="str">
        <f t="shared" si="28"/>
        <v>Low</v>
      </c>
    </row>
    <row r="68" spans="1:15" x14ac:dyDescent="0.3">
      <c r="A68" s="5" t="s">
        <v>471</v>
      </c>
      <c r="B68" s="5" t="s">
        <v>472</v>
      </c>
      <c r="C68" s="5" t="s">
        <v>473</v>
      </c>
      <c r="D68" s="5" t="s">
        <v>474</v>
      </c>
      <c r="E68" s="5" t="s">
        <v>475</v>
      </c>
      <c r="F68" s="5" t="s">
        <v>476</v>
      </c>
      <c r="G68" s="5" t="s">
        <v>477</v>
      </c>
      <c r="H68" s="6">
        <f t="shared" si="21"/>
        <v>2914375</v>
      </c>
      <c r="I68" s="7" t="str">
        <f t="shared" si="22"/>
        <v>Yes</v>
      </c>
      <c r="J68" s="7">
        <f t="shared" si="23"/>
        <v>22</v>
      </c>
      <c r="K68" s="6">
        <f t="shared" si="24"/>
        <v>36370000</v>
      </c>
      <c r="L68" s="7">
        <f t="shared" si="25"/>
        <v>27</v>
      </c>
      <c r="M68" s="8">
        <f t="shared" si="26"/>
        <v>4.4000000000000003E-3</v>
      </c>
      <c r="N68" s="7" t="str">
        <f t="shared" si="27"/>
        <v>Positive</v>
      </c>
      <c r="O68" s="7" t="str">
        <f t="shared" si="28"/>
        <v>Low</v>
      </c>
    </row>
    <row r="69" spans="1:15" x14ac:dyDescent="0.3">
      <c r="A69" s="5" t="s">
        <v>478</v>
      </c>
      <c r="B69" s="5" t="s">
        <v>479</v>
      </c>
      <c r="C69" s="5" t="s">
        <v>480</v>
      </c>
      <c r="D69" s="5" t="s">
        <v>481</v>
      </c>
      <c r="E69" s="5" t="s">
        <v>482</v>
      </c>
      <c r="F69" s="5" t="s">
        <v>483</v>
      </c>
      <c r="G69" s="5" t="s">
        <v>484</v>
      </c>
      <c r="H69" s="6">
        <f t="shared" si="21"/>
        <v>252063</v>
      </c>
      <c r="I69" s="7" t="str">
        <f t="shared" si="22"/>
        <v>No</v>
      </c>
      <c r="J69" s="7" t="str">
        <f t="shared" si="23"/>
        <v/>
      </c>
      <c r="K69" s="6">
        <f t="shared" si="24"/>
        <v>35980000</v>
      </c>
      <c r="L69" s="7" t="str">
        <f t="shared" si="25"/>
        <v/>
      </c>
      <c r="M69" s="8">
        <f t="shared" si="26"/>
        <v>8.0000000000000004E-4</v>
      </c>
      <c r="N69" s="7" t="str">
        <f t="shared" si="27"/>
        <v>Positive</v>
      </c>
      <c r="O69" s="7" t="str">
        <f t="shared" si="28"/>
        <v>Low</v>
      </c>
    </row>
    <row r="70" spans="1:15" x14ac:dyDescent="0.3">
      <c r="A70" s="5" t="s">
        <v>485</v>
      </c>
      <c r="B70" s="5" t="s">
        <v>486</v>
      </c>
      <c r="C70" s="5" t="s">
        <v>487</v>
      </c>
      <c r="D70" s="5" t="s">
        <v>234</v>
      </c>
      <c r="E70" s="5" t="s">
        <v>488</v>
      </c>
      <c r="F70" s="5" t="s">
        <v>489</v>
      </c>
      <c r="G70" s="5" t="s">
        <v>490</v>
      </c>
      <c r="H70" s="6">
        <f t="shared" si="21"/>
        <v>3564164</v>
      </c>
      <c r="I70" s="7" t="str">
        <f t="shared" si="22"/>
        <v>No</v>
      </c>
      <c r="J70" s="7" t="str">
        <f t="shared" si="23"/>
        <v/>
      </c>
      <c r="K70" s="6">
        <f t="shared" si="24"/>
        <v>35960000</v>
      </c>
      <c r="L70" s="7" t="str">
        <f t="shared" si="25"/>
        <v/>
      </c>
      <c r="M70" s="8">
        <f t="shared" si="26"/>
        <v>3.2000000000000002E-3</v>
      </c>
      <c r="N70" s="7" t="str">
        <f t="shared" si="27"/>
        <v>Positive</v>
      </c>
      <c r="O70" s="7" t="str">
        <f t="shared" si="28"/>
        <v>Low</v>
      </c>
    </row>
    <row r="71" spans="1:15" x14ac:dyDescent="0.3">
      <c r="A71" s="5" t="s">
        <v>491</v>
      </c>
      <c r="B71" s="5" t="s">
        <v>492</v>
      </c>
      <c r="C71" s="5" t="s">
        <v>493</v>
      </c>
      <c r="D71" s="5" t="s">
        <v>302</v>
      </c>
      <c r="E71" s="5" t="s">
        <v>494</v>
      </c>
      <c r="F71" s="5" t="s">
        <v>495</v>
      </c>
      <c r="G71" s="5" t="s">
        <v>496</v>
      </c>
      <c r="H71" s="6">
        <f t="shared" si="21"/>
        <v>8693511</v>
      </c>
      <c r="I71" s="7" t="str">
        <f t="shared" si="22"/>
        <v>No</v>
      </c>
      <c r="J71" s="7" t="str">
        <f t="shared" si="23"/>
        <v/>
      </c>
      <c r="K71" s="6">
        <f t="shared" si="24"/>
        <v>35840000</v>
      </c>
      <c r="L71" s="7" t="str">
        <f t="shared" si="25"/>
        <v/>
      </c>
      <c r="M71" s="8">
        <f t="shared" si="26"/>
        <v>6.8999999999999999E-3</v>
      </c>
      <c r="N71" s="7" t="str">
        <f t="shared" si="27"/>
        <v>Positive</v>
      </c>
      <c r="O71" s="7" t="str">
        <f t="shared" si="28"/>
        <v>Low</v>
      </c>
    </row>
    <row r="72" spans="1:15" x14ac:dyDescent="0.3">
      <c r="A72" s="5" t="s">
        <v>497</v>
      </c>
      <c r="B72" s="5" t="s">
        <v>498</v>
      </c>
      <c r="C72" s="5" t="s">
        <v>499</v>
      </c>
      <c r="D72" s="5" t="s">
        <v>500</v>
      </c>
      <c r="E72" s="5" t="s">
        <v>501</v>
      </c>
      <c r="F72" s="5" t="s">
        <v>502</v>
      </c>
      <c r="G72" s="5" t="s">
        <v>503</v>
      </c>
      <c r="H72" s="6">
        <f t="shared" si="21"/>
        <v>254347</v>
      </c>
      <c r="I72" s="7" t="str">
        <f t="shared" si="22"/>
        <v>No</v>
      </c>
      <c r="J72" s="7" t="str">
        <f t="shared" si="23"/>
        <v/>
      </c>
      <c r="K72" s="6">
        <f t="shared" si="24"/>
        <v>26280000</v>
      </c>
      <c r="L72" s="7" t="str">
        <f t="shared" si="25"/>
        <v/>
      </c>
      <c r="M72" s="8">
        <f t="shared" si="26"/>
        <v>1.5E-3</v>
      </c>
      <c r="N72" s="7" t="str">
        <f t="shared" si="27"/>
        <v>Positive</v>
      </c>
      <c r="O72" s="7" t="str">
        <f t="shared" si="28"/>
        <v>Low</v>
      </c>
    </row>
    <row r="73" spans="1:15" x14ac:dyDescent="0.3">
      <c r="A73" s="5" t="s">
        <v>504</v>
      </c>
      <c r="B73" s="5" t="s">
        <v>505</v>
      </c>
      <c r="C73" s="5" t="s">
        <v>506</v>
      </c>
      <c r="D73" s="5" t="s">
        <v>507</v>
      </c>
      <c r="E73" s="5" t="s">
        <v>508</v>
      </c>
      <c r="F73" s="5" t="s">
        <v>509</v>
      </c>
      <c r="G73" s="5" t="s">
        <v>510</v>
      </c>
      <c r="H73" s="6">
        <f t="shared" si="21"/>
        <v>2161326</v>
      </c>
      <c r="I73" s="7" t="str">
        <f t="shared" si="22"/>
        <v>No</v>
      </c>
      <c r="J73" s="7" t="str">
        <f t="shared" si="23"/>
        <v/>
      </c>
      <c r="K73" s="6">
        <f t="shared" si="24"/>
        <v>26220000</v>
      </c>
      <c r="L73" s="7" t="str">
        <f t="shared" si="25"/>
        <v/>
      </c>
      <c r="M73" s="8">
        <f t="shared" si="26"/>
        <v>1.77E-2</v>
      </c>
      <c r="N73" s="7" t="str">
        <f t="shared" si="27"/>
        <v>Positive</v>
      </c>
      <c r="O73" s="7" t="str">
        <f t="shared" si="28"/>
        <v>Low</v>
      </c>
    </row>
    <row r="74" spans="1:15" x14ac:dyDescent="0.3">
      <c r="A74" s="5" t="s">
        <v>511</v>
      </c>
      <c r="B74" s="5" t="s">
        <v>512</v>
      </c>
      <c r="C74" s="5" t="s">
        <v>513</v>
      </c>
      <c r="D74" s="5" t="s">
        <v>30</v>
      </c>
      <c r="E74" s="5" t="s">
        <v>514</v>
      </c>
      <c r="F74" s="5" t="s">
        <v>515</v>
      </c>
      <c r="G74" s="5" t="s">
        <v>516</v>
      </c>
      <c r="H74" s="6">
        <f t="shared" si="21"/>
        <v>33236555</v>
      </c>
      <c r="I74" s="7" t="str">
        <f t="shared" si="22"/>
        <v>No</v>
      </c>
      <c r="J74" s="7" t="str">
        <f t="shared" si="23"/>
        <v/>
      </c>
      <c r="K74" s="6">
        <f t="shared" si="24"/>
        <v>26070000</v>
      </c>
      <c r="L74" s="7" t="str">
        <f t="shared" si="25"/>
        <v/>
      </c>
      <c r="M74" s="8">
        <f t="shared" si="26"/>
        <v>7.6E-3</v>
      </c>
      <c r="N74" s="7" t="str">
        <f t="shared" si="27"/>
        <v>Positive</v>
      </c>
      <c r="O74" s="7" t="str">
        <f t="shared" si="28"/>
        <v>Medium</v>
      </c>
    </row>
    <row r="75" spans="1:15" x14ac:dyDescent="0.3">
      <c r="A75" s="5" t="s">
        <v>517</v>
      </c>
      <c r="B75" s="5" t="s">
        <v>518</v>
      </c>
      <c r="C75" s="5" t="s">
        <v>519</v>
      </c>
      <c r="D75" s="5" t="s">
        <v>520</v>
      </c>
      <c r="E75" s="5" t="s">
        <v>521</v>
      </c>
      <c r="F75" s="5" t="s">
        <v>522</v>
      </c>
      <c r="G75" s="5" t="s">
        <v>523</v>
      </c>
      <c r="H75" s="6">
        <f t="shared" si="21"/>
        <v>5485485</v>
      </c>
      <c r="I75" s="7" t="str">
        <f t="shared" si="22"/>
        <v>No</v>
      </c>
      <c r="J75" s="7" t="str">
        <f t="shared" si="23"/>
        <v/>
      </c>
      <c r="K75" s="6">
        <f t="shared" si="24"/>
        <v>26150000</v>
      </c>
      <c r="L75" s="7" t="str">
        <f t="shared" si="25"/>
        <v/>
      </c>
      <c r="M75" s="8">
        <f t="shared" si="26"/>
        <v>2.1899999999999999E-2</v>
      </c>
      <c r="N75" s="7" t="str">
        <f t="shared" si="27"/>
        <v>Positive</v>
      </c>
      <c r="O75" s="7" t="str">
        <f t="shared" si="28"/>
        <v>Low</v>
      </c>
    </row>
    <row r="76" spans="1:15" x14ac:dyDescent="0.3">
      <c r="A76" s="5" t="s">
        <v>524</v>
      </c>
      <c r="B76" s="5" t="s">
        <v>525</v>
      </c>
      <c r="C76" s="5" t="s">
        <v>526</v>
      </c>
      <c r="D76" s="5" t="s">
        <v>78</v>
      </c>
      <c r="E76" s="5" t="s">
        <v>527</v>
      </c>
      <c r="F76" s="5" t="s">
        <v>528</v>
      </c>
      <c r="G76" s="5" t="s">
        <v>529</v>
      </c>
      <c r="H76" s="6">
        <f t="shared" si="21"/>
        <v>4157460</v>
      </c>
      <c r="I76" s="7" t="str">
        <f t="shared" si="22"/>
        <v>No</v>
      </c>
      <c r="J76" s="7" t="str">
        <f t="shared" si="23"/>
        <v/>
      </c>
      <c r="K76" s="6">
        <f t="shared" si="24"/>
        <v>25940000</v>
      </c>
      <c r="L76" s="7" t="str">
        <f t="shared" si="25"/>
        <v/>
      </c>
      <c r="M76" s="8">
        <f t="shared" si="26"/>
        <v>9.4000000000000004E-3</v>
      </c>
      <c r="N76" s="7" t="str">
        <f t="shared" si="27"/>
        <v>Positive</v>
      </c>
      <c r="O76" s="7" t="str">
        <f t="shared" si="28"/>
        <v>Low</v>
      </c>
    </row>
    <row r="77" spans="1:15" x14ac:dyDescent="0.3">
      <c r="A77" s="5" t="s">
        <v>530</v>
      </c>
      <c r="B77" s="5" t="s">
        <v>531</v>
      </c>
      <c r="C77" s="5" t="s">
        <v>532</v>
      </c>
      <c r="D77" s="5" t="s">
        <v>533</v>
      </c>
      <c r="E77" s="5" t="s">
        <v>534</v>
      </c>
      <c r="F77" s="5" t="s">
        <v>535</v>
      </c>
      <c r="G77" s="5" t="s">
        <v>536</v>
      </c>
      <c r="H77" s="6">
        <f t="shared" si="21"/>
        <v>3148017</v>
      </c>
      <c r="I77" s="7" t="str">
        <f t="shared" si="22"/>
        <v>No</v>
      </c>
      <c r="J77" s="7" t="str">
        <f t="shared" si="23"/>
        <v/>
      </c>
      <c r="K77" s="6">
        <f t="shared" si="24"/>
        <v>25850000</v>
      </c>
      <c r="L77" s="7" t="str">
        <f t="shared" si="25"/>
        <v/>
      </c>
      <c r="M77" s="8">
        <f t="shared" si="26"/>
        <v>1.46E-2</v>
      </c>
      <c r="N77" s="7" t="str">
        <f t="shared" si="27"/>
        <v>Positive</v>
      </c>
      <c r="O77" s="7" t="str">
        <f t="shared" si="28"/>
        <v>Low</v>
      </c>
    </row>
    <row r="78" spans="1:15" x14ac:dyDescent="0.3">
      <c r="A78" s="5" t="s">
        <v>537</v>
      </c>
      <c r="B78" s="5" t="s">
        <v>538</v>
      </c>
      <c r="C78" s="5" t="s">
        <v>539</v>
      </c>
      <c r="D78" s="5" t="s">
        <v>540</v>
      </c>
      <c r="E78" s="5" t="s">
        <v>541</v>
      </c>
      <c r="F78" s="5" t="s">
        <v>542</v>
      </c>
      <c r="G78" s="5" t="s">
        <v>543</v>
      </c>
      <c r="H78" s="6">
        <f t="shared" si="21"/>
        <v>40860347</v>
      </c>
      <c r="I78" s="7" t="str">
        <f t="shared" si="22"/>
        <v>Yes</v>
      </c>
      <c r="J78" s="7">
        <f t="shared" si="23"/>
        <v>7</v>
      </c>
      <c r="K78" s="6">
        <f t="shared" si="24"/>
        <v>25970000</v>
      </c>
      <c r="L78" s="7">
        <f t="shared" si="25"/>
        <v>28</v>
      </c>
      <c r="M78" s="8">
        <f t="shared" si="26"/>
        <v>4.2700000000000002E-2</v>
      </c>
      <c r="N78" s="7" t="str">
        <f t="shared" si="27"/>
        <v>Positive</v>
      </c>
      <c r="O78" s="7" t="str">
        <f t="shared" si="28"/>
        <v>Medium</v>
      </c>
    </row>
    <row r="79" spans="1:15" x14ac:dyDescent="0.3">
      <c r="A79" s="5" t="s">
        <v>544</v>
      </c>
      <c r="B79" s="5" t="s">
        <v>545</v>
      </c>
      <c r="C79" s="5" t="s">
        <v>546</v>
      </c>
      <c r="D79" s="5" t="s">
        <v>547</v>
      </c>
      <c r="E79" s="5" t="s">
        <v>548</v>
      </c>
      <c r="F79" s="5" t="s">
        <v>549</v>
      </c>
      <c r="G79" s="5" t="s">
        <v>550</v>
      </c>
      <c r="H79" s="6">
        <f t="shared" si="21"/>
        <v>2231412</v>
      </c>
      <c r="I79" s="7" t="str">
        <f t="shared" si="22"/>
        <v>Yes</v>
      </c>
      <c r="J79" s="7">
        <f t="shared" si="23"/>
        <v>27</v>
      </c>
      <c r="K79" s="6">
        <f t="shared" si="24"/>
        <v>25880000</v>
      </c>
      <c r="L79" s="7">
        <f t="shared" si="25"/>
        <v>29</v>
      </c>
      <c r="M79" s="8">
        <f t="shared" si="26"/>
        <v>3.3E-3</v>
      </c>
      <c r="N79" s="7" t="str">
        <f t="shared" si="27"/>
        <v>Positive</v>
      </c>
      <c r="O79" s="7" t="str">
        <f t="shared" si="28"/>
        <v>Low</v>
      </c>
    </row>
    <row r="80" spans="1:15" x14ac:dyDescent="0.3">
      <c r="A80" s="5" t="s">
        <v>551</v>
      </c>
      <c r="B80" s="5" t="s">
        <v>552</v>
      </c>
      <c r="C80" s="5" t="s">
        <v>553</v>
      </c>
      <c r="D80" s="5" t="s">
        <v>379</v>
      </c>
      <c r="E80" s="5" t="s">
        <v>554</v>
      </c>
      <c r="F80" s="5" t="s">
        <v>555</v>
      </c>
      <c r="G80" s="5" t="s">
        <v>556</v>
      </c>
      <c r="H80" s="6">
        <f t="shared" si="21"/>
        <v>3675488</v>
      </c>
      <c r="I80" s="7" t="str">
        <f t="shared" si="22"/>
        <v>Yes</v>
      </c>
      <c r="J80" s="7">
        <f t="shared" si="23"/>
        <v>20</v>
      </c>
      <c r="K80" s="6">
        <f t="shared" si="24"/>
        <v>25830000</v>
      </c>
      <c r="L80" s="7">
        <f t="shared" si="25"/>
        <v>30</v>
      </c>
      <c r="M80" s="8">
        <f t="shared" si="26"/>
        <v>1.8E-3</v>
      </c>
      <c r="N80" s="7" t="str">
        <f t="shared" si="27"/>
        <v>Positive</v>
      </c>
      <c r="O80" s="7" t="str">
        <f t="shared" si="28"/>
        <v>Low</v>
      </c>
    </row>
    <row r="81" spans="1:15" x14ac:dyDescent="0.3">
      <c r="A81" s="5" t="s">
        <v>557</v>
      </c>
      <c r="B81" s="5" t="s">
        <v>558</v>
      </c>
      <c r="C81" s="5" t="s">
        <v>559</v>
      </c>
      <c r="D81" s="5" t="s">
        <v>560</v>
      </c>
      <c r="E81" s="5" t="s">
        <v>561</v>
      </c>
      <c r="F81" s="5" t="s">
        <v>562</v>
      </c>
      <c r="G81" s="5" t="s">
        <v>563</v>
      </c>
      <c r="H81" s="6">
        <f t="shared" si="21"/>
        <v>5290020</v>
      </c>
      <c r="I81" s="7" t="str">
        <f t="shared" si="22"/>
        <v>No</v>
      </c>
      <c r="J81" s="7" t="str">
        <f t="shared" si="23"/>
        <v/>
      </c>
      <c r="K81" s="6">
        <f t="shared" si="24"/>
        <v>25730000</v>
      </c>
      <c r="L81" s="7" t="str">
        <f t="shared" si="25"/>
        <v/>
      </c>
      <c r="M81" s="8">
        <f t="shared" si="26"/>
        <v>1.26E-2</v>
      </c>
      <c r="N81" s="7" t="str">
        <f t="shared" si="27"/>
        <v>Positive</v>
      </c>
      <c r="O81" s="7" t="str">
        <f t="shared" si="28"/>
        <v>Low</v>
      </c>
    </row>
    <row r="82" spans="1:15" x14ac:dyDescent="0.3">
      <c r="A82" s="5" t="s">
        <v>564</v>
      </c>
      <c r="B82" s="5" t="s">
        <v>565</v>
      </c>
      <c r="C82" s="5" t="s">
        <v>566</v>
      </c>
      <c r="D82" s="5" t="s">
        <v>567</v>
      </c>
      <c r="E82" s="5" t="s">
        <v>568</v>
      </c>
      <c r="F82" s="5" t="s">
        <v>569</v>
      </c>
      <c r="G82" s="5" t="s">
        <v>570</v>
      </c>
      <c r="H82" s="6">
        <f t="shared" si="21"/>
        <v>2554402</v>
      </c>
      <c r="I82" s="7" t="str">
        <f t="shared" si="22"/>
        <v>No</v>
      </c>
      <c r="J82" s="7" t="str">
        <f t="shared" si="23"/>
        <v/>
      </c>
      <c r="K82" s="6">
        <f t="shared" si="24"/>
        <v>19940000</v>
      </c>
      <c r="L82" s="7" t="str">
        <f t="shared" si="25"/>
        <v/>
      </c>
      <c r="M82" s="8">
        <f t="shared" si="26"/>
        <v>4.1999999999999997E-3</v>
      </c>
      <c r="N82" s="7" t="str">
        <f t="shared" si="27"/>
        <v>Positive</v>
      </c>
      <c r="O82" s="7" t="str">
        <f t="shared" si="28"/>
        <v>Low</v>
      </c>
    </row>
    <row r="83" spans="1:15" x14ac:dyDescent="0.3">
      <c r="A83" s="5" t="s">
        <v>571</v>
      </c>
      <c r="B83" s="5" t="s">
        <v>572</v>
      </c>
      <c r="C83" s="5" t="s">
        <v>573</v>
      </c>
      <c r="D83" s="5" t="s">
        <v>574</v>
      </c>
      <c r="E83" s="5" t="s">
        <v>575</v>
      </c>
      <c r="F83" s="5" t="s">
        <v>576</v>
      </c>
      <c r="G83" s="5" t="s">
        <v>577</v>
      </c>
      <c r="H83" s="6">
        <f t="shared" si="21"/>
        <v>174082</v>
      </c>
      <c r="I83" s="7" t="str">
        <f t="shared" si="22"/>
        <v>No</v>
      </c>
      <c r="J83" s="7" t="str">
        <f t="shared" si="23"/>
        <v/>
      </c>
      <c r="K83" s="6">
        <f t="shared" si="24"/>
        <v>19770000</v>
      </c>
      <c r="L83" s="7" t="str">
        <f t="shared" si="25"/>
        <v/>
      </c>
      <c r="M83" s="8">
        <f t="shared" si="26"/>
        <v>4.24E-2</v>
      </c>
      <c r="N83" s="7" t="str">
        <f t="shared" si="27"/>
        <v>Positive</v>
      </c>
      <c r="O83" s="7" t="str">
        <f t="shared" si="28"/>
        <v>Low</v>
      </c>
    </row>
    <row r="84" spans="1:15" x14ac:dyDescent="0.3">
      <c r="A84" s="5" t="s">
        <v>578</v>
      </c>
      <c r="B84" s="5" t="s">
        <v>579</v>
      </c>
      <c r="C84" s="5" t="s">
        <v>580</v>
      </c>
      <c r="D84" s="5" t="s">
        <v>358</v>
      </c>
      <c r="E84" s="5" t="s">
        <v>581</v>
      </c>
      <c r="F84" s="5" t="s">
        <v>582</v>
      </c>
      <c r="G84" s="5" t="s">
        <v>583</v>
      </c>
      <c r="H84" s="6">
        <f t="shared" si="21"/>
        <v>362962</v>
      </c>
      <c r="I84" s="7" t="str">
        <f t="shared" si="22"/>
        <v>No</v>
      </c>
      <c r="J84" s="7" t="str">
        <f t="shared" si="23"/>
        <v/>
      </c>
      <c r="K84" s="6">
        <f t="shared" si="24"/>
        <v>19740000</v>
      </c>
      <c r="L84" s="7" t="str">
        <f t="shared" si="25"/>
        <v/>
      </c>
      <c r="M84" s="8">
        <f t="shared" si="26"/>
        <v>2.0000000000000001E-4</v>
      </c>
      <c r="N84" s="7" t="str">
        <f t="shared" si="27"/>
        <v>Positive</v>
      </c>
      <c r="O84" s="7" t="str">
        <f t="shared" si="28"/>
        <v>Low</v>
      </c>
    </row>
    <row r="85" spans="1:15" x14ac:dyDescent="0.3">
      <c r="A85" s="5" t="s">
        <v>584</v>
      </c>
      <c r="B85" s="5" t="s">
        <v>585</v>
      </c>
      <c r="C85" s="5" t="s">
        <v>586</v>
      </c>
      <c r="D85" s="5" t="s">
        <v>587</v>
      </c>
      <c r="E85" s="5" t="s">
        <v>588</v>
      </c>
      <c r="F85" s="5" t="s">
        <v>589</v>
      </c>
      <c r="G85" s="5" t="s">
        <v>590</v>
      </c>
      <c r="H85" s="6">
        <f t="shared" si="21"/>
        <v>268389</v>
      </c>
      <c r="I85" s="7" t="str">
        <f t="shared" si="22"/>
        <v>Yes</v>
      </c>
      <c r="J85" s="7">
        <f t="shared" si="23"/>
        <v>53</v>
      </c>
      <c r="K85" s="6">
        <f t="shared" si="24"/>
        <v>19760000</v>
      </c>
      <c r="L85" s="7">
        <f t="shared" si="25"/>
        <v>31</v>
      </c>
      <c r="M85" s="8">
        <f t="shared" si="26"/>
        <v>1.24E-2</v>
      </c>
      <c r="N85" s="7" t="str">
        <f t="shared" si="27"/>
        <v>Positive</v>
      </c>
      <c r="O85" s="7" t="str">
        <f t="shared" si="28"/>
        <v>Low</v>
      </c>
    </row>
    <row r="86" spans="1:15" x14ac:dyDescent="0.3">
      <c r="A86" s="5" t="s">
        <v>591</v>
      </c>
      <c r="B86" s="5" t="s">
        <v>592</v>
      </c>
      <c r="C86" s="5" t="s">
        <v>593</v>
      </c>
      <c r="D86" s="5" t="s">
        <v>155</v>
      </c>
      <c r="E86" s="5" t="s">
        <v>594</v>
      </c>
      <c r="F86" s="5" t="s">
        <v>595</v>
      </c>
      <c r="G86" s="5" t="s">
        <v>596</v>
      </c>
      <c r="H86" s="6">
        <f t="shared" si="21"/>
        <v>999710</v>
      </c>
      <c r="I86" s="7" t="str">
        <f t="shared" si="22"/>
        <v>Yes</v>
      </c>
      <c r="J86" s="7">
        <f t="shared" si="23"/>
        <v>39</v>
      </c>
      <c r="K86" s="6">
        <f t="shared" si="24"/>
        <v>19720000</v>
      </c>
      <c r="L86" s="7">
        <f t="shared" si="25"/>
        <v>32</v>
      </c>
      <c r="M86" s="8">
        <f t="shared" si="26"/>
        <v>1E-4</v>
      </c>
      <c r="N86" s="7" t="str">
        <f t="shared" si="27"/>
        <v>Positive</v>
      </c>
      <c r="O86" s="7" t="str">
        <f t="shared" si="28"/>
        <v>Low</v>
      </c>
    </row>
    <row r="87" spans="1:15" x14ac:dyDescent="0.3">
      <c r="A87" s="5" t="s">
        <v>597</v>
      </c>
      <c r="B87" s="5" t="s">
        <v>598</v>
      </c>
      <c r="C87" s="5" t="s">
        <v>599</v>
      </c>
      <c r="D87" s="5" t="s">
        <v>64</v>
      </c>
      <c r="E87" s="5" t="s">
        <v>600</v>
      </c>
      <c r="F87" s="5" t="s">
        <v>601</v>
      </c>
      <c r="G87" s="5" t="s">
        <v>602</v>
      </c>
      <c r="H87" s="6">
        <f t="shared" si="21"/>
        <v>47</v>
      </c>
      <c r="I87" s="7" t="str">
        <f t="shared" si="22"/>
        <v>Yes</v>
      </c>
      <c r="J87" s="7">
        <f t="shared" si="23"/>
        <v>83</v>
      </c>
      <c r="K87" s="6">
        <f t="shared" si="24"/>
        <v>19600000</v>
      </c>
      <c r="L87" s="7">
        <f t="shared" si="25"/>
        <v>33</v>
      </c>
      <c r="M87" s="8">
        <f t="shared" si="26"/>
        <v>2.9999999999999997E-4</v>
      </c>
      <c r="N87" s="7" t="str">
        <f t="shared" si="27"/>
        <v>Positive</v>
      </c>
      <c r="O87" s="7" t="str">
        <f t="shared" si="28"/>
        <v>Low</v>
      </c>
    </row>
    <row r="88" spans="1:15" x14ac:dyDescent="0.3">
      <c r="A88" s="5" t="s">
        <v>603</v>
      </c>
      <c r="B88" s="5" t="s">
        <v>604</v>
      </c>
      <c r="C88" s="5" t="s">
        <v>605</v>
      </c>
      <c r="D88" s="5" t="s">
        <v>606</v>
      </c>
      <c r="E88" s="5" t="s">
        <v>607</v>
      </c>
      <c r="F88" s="5" t="s">
        <v>608</v>
      </c>
      <c r="G88" s="5" t="s">
        <v>609</v>
      </c>
      <c r="H88" s="6">
        <f t="shared" si="21"/>
        <v>2452497</v>
      </c>
      <c r="I88" s="7" t="str">
        <f t="shared" si="22"/>
        <v>No</v>
      </c>
      <c r="J88" s="7" t="str">
        <f t="shared" si="23"/>
        <v/>
      </c>
      <c r="K88" s="6">
        <f t="shared" si="24"/>
        <v>19560000</v>
      </c>
      <c r="L88" s="7" t="str">
        <f t="shared" si="25"/>
        <v/>
      </c>
      <c r="M88" s="8">
        <f t="shared" si="26"/>
        <v>1.04E-2</v>
      </c>
      <c r="N88" s="7" t="str">
        <f t="shared" si="27"/>
        <v>Positive</v>
      </c>
      <c r="O88" s="7" t="str">
        <f t="shared" si="28"/>
        <v>Low</v>
      </c>
    </row>
    <row r="89" spans="1:15" x14ac:dyDescent="0.3">
      <c r="A89" s="5" t="s">
        <v>610</v>
      </c>
      <c r="B89" s="5" t="s">
        <v>611</v>
      </c>
      <c r="C89" s="5" t="s">
        <v>612</v>
      </c>
      <c r="D89" s="5" t="s">
        <v>45</v>
      </c>
      <c r="E89" s="5" t="s">
        <v>613</v>
      </c>
      <c r="F89" s="5" t="s">
        <v>614</v>
      </c>
      <c r="G89" s="5" t="s">
        <v>144</v>
      </c>
      <c r="H89" s="6">
        <f t="shared" si="21"/>
        <v>45</v>
      </c>
      <c r="I89" s="7" t="str">
        <f t="shared" si="22"/>
        <v>No</v>
      </c>
      <c r="J89" s="7" t="str">
        <f t="shared" si="23"/>
        <v/>
      </c>
      <c r="K89" s="6">
        <f t="shared" si="24"/>
        <v>19550000</v>
      </c>
      <c r="L89" s="7" t="str">
        <f t="shared" si="25"/>
        <v/>
      </c>
      <c r="M89" s="8">
        <f t="shared" si="26"/>
        <v>5.4999999999999997E-3</v>
      </c>
      <c r="N89" s="7" t="str">
        <f t="shared" si="27"/>
        <v>Positive</v>
      </c>
      <c r="O89" s="7" t="str">
        <f t="shared" si="28"/>
        <v>Low</v>
      </c>
    </row>
    <row r="90" spans="1:15" x14ac:dyDescent="0.3">
      <c r="A90" s="5" t="s">
        <v>615</v>
      </c>
      <c r="B90" s="5" t="s">
        <v>616</v>
      </c>
      <c r="C90" s="5" t="s">
        <v>617</v>
      </c>
      <c r="D90" s="5" t="s">
        <v>618</v>
      </c>
      <c r="E90" s="5" t="s">
        <v>619</v>
      </c>
      <c r="F90" s="5" t="s">
        <v>620</v>
      </c>
      <c r="G90" s="5" t="s">
        <v>621</v>
      </c>
      <c r="H90" s="6">
        <f t="shared" si="21"/>
        <v>2760725</v>
      </c>
      <c r="I90" s="7" t="str">
        <f t="shared" si="22"/>
        <v>Yes</v>
      </c>
      <c r="J90" s="7">
        <f t="shared" si="23"/>
        <v>24</v>
      </c>
      <c r="K90" s="6">
        <f t="shared" si="24"/>
        <v>19510000</v>
      </c>
      <c r="L90" s="7">
        <f t="shared" si="25"/>
        <v>34</v>
      </c>
      <c r="M90" s="8">
        <f t="shared" si="26"/>
        <v>1.5800000000000002E-2</v>
      </c>
      <c r="N90" s="7" t="str">
        <f t="shared" si="27"/>
        <v>Positive</v>
      </c>
      <c r="O90" s="7" t="str">
        <f t="shared" si="28"/>
        <v>Low</v>
      </c>
    </row>
    <row r="91" spans="1:15" x14ac:dyDescent="0.3">
      <c r="A91" s="5" t="s">
        <v>622</v>
      </c>
      <c r="B91" s="5" t="s">
        <v>623</v>
      </c>
      <c r="C91" s="5" t="s">
        <v>624</v>
      </c>
      <c r="D91" s="5" t="s">
        <v>45</v>
      </c>
      <c r="E91" s="5" t="s">
        <v>625</v>
      </c>
      <c r="F91" s="5" t="s">
        <v>626</v>
      </c>
      <c r="G91" s="5" t="s">
        <v>627</v>
      </c>
      <c r="H91" s="6">
        <f t="shared" si="21"/>
        <v>7675089</v>
      </c>
      <c r="I91" s="7" t="str">
        <f t="shared" si="22"/>
        <v>Yes</v>
      </c>
      <c r="J91" s="7">
        <f t="shared" si="23"/>
        <v>14</v>
      </c>
      <c r="K91" s="6">
        <f t="shared" si="24"/>
        <v>19470000</v>
      </c>
      <c r="L91" s="7">
        <f t="shared" si="25"/>
        <v>35</v>
      </c>
      <c r="M91" s="8">
        <f t="shared" si="26"/>
        <v>5.4999999999999997E-3</v>
      </c>
      <c r="N91" s="7" t="str">
        <f t="shared" si="27"/>
        <v>Positive</v>
      </c>
      <c r="O91" s="7" t="str">
        <f t="shared" si="28"/>
        <v>Low</v>
      </c>
    </row>
    <row r="92" spans="1:15" x14ac:dyDescent="0.3">
      <c r="A92" s="5" t="s">
        <v>628</v>
      </c>
      <c r="B92" s="5" t="s">
        <v>629</v>
      </c>
      <c r="C92" s="5" t="s">
        <v>630</v>
      </c>
      <c r="D92" s="5" t="s">
        <v>85</v>
      </c>
      <c r="E92" s="5" t="s">
        <v>631</v>
      </c>
      <c r="F92" s="5" t="s">
        <v>632</v>
      </c>
      <c r="G92" s="5" t="s">
        <v>633</v>
      </c>
      <c r="H92" s="6">
        <f t="shared" si="21"/>
        <v>4797522</v>
      </c>
      <c r="I92" s="7" t="str">
        <f t="shared" si="22"/>
        <v>No</v>
      </c>
      <c r="J92" s="7" t="str">
        <f t="shared" si="23"/>
        <v/>
      </c>
      <c r="K92" s="6">
        <f t="shared" si="24"/>
        <v>15610000</v>
      </c>
      <c r="L92" s="7" t="str">
        <f t="shared" si="25"/>
        <v/>
      </c>
      <c r="M92" s="8">
        <f t="shared" si="26"/>
        <v>9.5999999999999992E-3</v>
      </c>
      <c r="N92" s="7" t="str">
        <f t="shared" si="27"/>
        <v>Positive</v>
      </c>
      <c r="O92" s="7" t="str">
        <f t="shared" si="28"/>
        <v>Low</v>
      </c>
    </row>
    <row r="93" spans="1:15" x14ac:dyDescent="0.3">
      <c r="A93" s="5" t="s">
        <v>634</v>
      </c>
      <c r="B93" s="5" t="s">
        <v>635</v>
      </c>
      <c r="C93" s="5" t="s">
        <v>636</v>
      </c>
      <c r="D93" s="5" t="s">
        <v>637</v>
      </c>
      <c r="E93" s="5" t="s">
        <v>638</v>
      </c>
      <c r="F93" s="5" t="s">
        <v>639</v>
      </c>
      <c r="G93" s="5" t="s">
        <v>640</v>
      </c>
      <c r="H93" s="6">
        <f t="shared" si="21"/>
        <v>884405</v>
      </c>
      <c r="I93" s="7" t="str">
        <f t="shared" si="22"/>
        <v>No</v>
      </c>
      <c r="J93" s="7" t="str">
        <f t="shared" si="23"/>
        <v/>
      </c>
      <c r="K93" s="6">
        <f t="shared" si="24"/>
        <v>15630000</v>
      </c>
      <c r="L93" s="7" t="str">
        <f t="shared" si="25"/>
        <v/>
      </c>
      <c r="M93" s="8">
        <f t="shared" si="26"/>
        <v>4.0000000000000001E-3</v>
      </c>
      <c r="N93" s="7" t="str">
        <f t="shared" si="27"/>
        <v>Positive</v>
      </c>
      <c r="O93" s="7" t="str">
        <f t="shared" si="28"/>
        <v>Low</v>
      </c>
    </row>
    <row r="94" spans="1:15" x14ac:dyDescent="0.3">
      <c r="A94" s="5" t="s">
        <v>641</v>
      </c>
      <c r="B94" s="5" t="s">
        <v>642</v>
      </c>
      <c r="C94" s="5" t="s">
        <v>643</v>
      </c>
      <c r="D94" s="5" t="s">
        <v>358</v>
      </c>
      <c r="E94" s="5" t="s">
        <v>644</v>
      </c>
      <c r="F94" s="5" t="s">
        <v>645</v>
      </c>
      <c r="G94" s="5" t="s">
        <v>646</v>
      </c>
      <c r="H94" s="6">
        <f t="shared" si="21"/>
        <v>191600</v>
      </c>
      <c r="I94" s="7" t="str">
        <f t="shared" si="22"/>
        <v>Yes</v>
      </c>
      <c r="J94" s="7">
        <f t="shared" si="23"/>
        <v>57</v>
      </c>
      <c r="K94" s="6">
        <f t="shared" si="24"/>
        <v>15600000</v>
      </c>
      <c r="L94" s="7">
        <f t="shared" si="25"/>
        <v>36</v>
      </c>
      <c r="M94" s="8">
        <f t="shared" si="26"/>
        <v>2.0000000000000001E-4</v>
      </c>
      <c r="N94" s="7" t="str">
        <f t="shared" si="27"/>
        <v>Positive</v>
      </c>
      <c r="O94" s="7" t="str">
        <f t="shared" si="28"/>
        <v>Low</v>
      </c>
    </row>
    <row r="95" spans="1:15" x14ac:dyDescent="0.3">
      <c r="A95" s="5" t="s">
        <v>647</v>
      </c>
      <c r="B95" s="5" t="s">
        <v>648</v>
      </c>
      <c r="C95" s="5" t="s">
        <v>649</v>
      </c>
      <c r="D95" s="5" t="s">
        <v>64</v>
      </c>
      <c r="E95" s="5" t="s">
        <v>650</v>
      </c>
      <c r="F95" s="5" t="s">
        <v>651</v>
      </c>
      <c r="G95" s="5" t="s">
        <v>652</v>
      </c>
      <c r="H95" s="6">
        <f t="shared" si="21"/>
        <v>326498</v>
      </c>
      <c r="I95" s="7" t="str">
        <f t="shared" si="22"/>
        <v>Yes</v>
      </c>
      <c r="J95" s="7">
        <f t="shared" si="23"/>
        <v>51</v>
      </c>
      <c r="K95" s="6">
        <f t="shared" si="24"/>
        <v>15350000</v>
      </c>
      <c r="L95" s="7">
        <f t="shared" si="25"/>
        <v>38</v>
      </c>
      <c r="M95" s="8">
        <f t="shared" si="26"/>
        <v>2.9999999999999997E-4</v>
      </c>
      <c r="N95" s="7" t="str">
        <f t="shared" si="27"/>
        <v>Positive</v>
      </c>
      <c r="O95" s="7" t="str">
        <f t="shared" si="28"/>
        <v>Low</v>
      </c>
    </row>
    <row r="96" spans="1:15" x14ac:dyDescent="0.3">
      <c r="A96" s="5" t="s">
        <v>653</v>
      </c>
      <c r="B96" s="5" t="s">
        <v>654</v>
      </c>
      <c r="C96" s="5" t="s">
        <v>655</v>
      </c>
      <c r="D96" s="5" t="s">
        <v>656</v>
      </c>
      <c r="E96" s="5" t="s">
        <v>657</v>
      </c>
      <c r="F96" s="5" t="s">
        <v>658</v>
      </c>
      <c r="G96" s="5" t="s">
        <v>659</v>
      </c>
      <c r="H96" s="6">
        <f t="shared" si="21"/>
        <v>3645223</v>
      </c>
      <c r="I96" s="7" t="str">
        <f t="shared" si="22"/>
        <v>Yes</v>
      </c>
      <c r="J96" s="7">
        <f t="shared" si="23"/>
        <v>21</v>
      </c>
      <c r="K96" s="6">
        <f t="shared" si="24"/>
        <v>15360000</v>
      </c>
      <c r="L96" s="7">
        <f t="shared" si="25"/>
        <v>37</v>
      </c>
      <c r="M96" s="8">
        <f t="shared" si="26"/>
        <v>1.1000000000000001E-3</v>
      </c>
      <c r="N96" s="7" t="str">
        <f t="shared" si="27"/>
        <v>Positive</v>
      </c>
      <c r="O96" s="7" t="str">
        <f t="shared" si="28"/>
        <v>Low</v>
      </c>
    </row>
    <row r="97" spans="1:15" x14ac:dyDescent="0.3">
      <c r="A97" s="5" t="s">
        <v>660</v>
      </c>
      <c r="B97" s="5" t="s">
        <v>661</v>
      </c>
      <c r="C97" s="5" t="s">
        <v>662</v>
      </c>
      <c r="D97" s="5" t="s">
        <v>379</v>
      </c>
      <c r="E97" s="5" t="s">
        <v>663</v>
      </c>
      <c r="F97" s="5" t="s">
        <v>664</v>
      </c>
      <c r="G97" s="5" t="s">
        <v>665</v>
      </c>
      <c r="H97" s="6">
        <f t="shared" si="21"/>
        <v>3216530</v>
      </c>
      <c r="I97" s="7" t="str">
        <f t="shared" si="22"/>
        <v>No</v>
      </c>
      <c r="J97" s="7" t="str">
        <f t="shared" si="23"/>
        <v/>
      </c>
      <c r="K97" s="6">
        <f t="shared" si="24"/>
        <v>15310000</v>
      </c>
      <c r="L97" s="7" t="str">
        <f t="shared" si="25"/>
        <v/>
      </c>
      <c r="M97" s="8">
        <f t="shared" si="26"/>
        <v>1.8E-3</v>
      </c>
      <c r="N97" s="7" t="str">
        <f t="shared" si="27"/>
        <v>Positive</v>
      </c>
      <c r="O97" s="7" t="str">
        <f t="shared" si="28"/>
        <v>Low</v>
      </c>
    </row>
    <row r="98" spans="1:15" x14ac:dyDescent="0.3">
      <c r="A98" s="5" t="s">
        <v>666</v>
      </c>
      <c r="B98" s="5" t="s">
        <v>667</v>
      </c>
      <c r="C98" s="5" t="s">
        <v>668</v>
      </c>
      <c r="D98" s="5" t="s">
        <v>175</v>
      </c>
      <c r="E98" s="5" t="s">
        <v>669</v>
      </c>
      <c r="F98" s="5" t="s">
        <v>670</v>
      </c>
      <c r="G98" s="5" t="s">
        <v>671</v>
      </c>
      <c r="H98" s="6">
        <f t="shared" ref="H98:H129" si="29">IFERROR(VALUE(SUBSTITUTE(SUBSTITUTE(F98,"$",""),",","")),0)</f>
        <v>1639272</v>
      </c>
      <c r="I98" s="7" t="str">
        <f t="shared" ref="I98:I129" si="30">IF(OR(UPPER(LEFT(A98,1))="A",UPPER(LEFT(A98,1))="E",UPPER(LEFT(A98,1))="I",UPPER(LEFT(A98,1))="O",UPPER(LEFT(A98,1))="U",UPPER(LEFT(A98,1))="B",UPPER(LEFT(A98,1))="C",UPPER(LEFT(A98,1))="D"),"Yes","No")</f>
        <v>Yes</v>
      </c>
      <c r="J98" s="7">
        <f t="shared" ref="J98:J129" si="31">IF(I98="Yes",SUMPRODUCT(($I$2:$I$201="Yes")*($H$2:$H$201&gt;H98))+1,"")</f>
        <v>32</v>
      </c>
      <c r="K98" s="6">
        <f t="shared" ref="K98:K129" si="32">IFERROR(IF(RIGHT(E98,1)="T",VALUE(SUBSTITUTE(SUBSTITUTE(LEFT(E98,LEN(E98)-1),"$",""),",",""))*1000000000000,IF(RIGHT(E98,1)="B",VALUE(SUBSTITUTE(SUBSTITUTE(LEFT(E98,LEN(E98)-1),"$",""),",",""))*1000000000,IF(RIGHT(E98,1)="M",VALUE(SUBSTITUTE(SUBSTITUTE(LEFT(E98,LEN(E98)-1),"$",""),",",""))*1000000,VALUE(SUBSTITUTE(SUBSTITUTE(E98,"$",""),",",""))))),0)</f>
        <v>15250000</v>
      </c>
      <c r="L98" s="7">
        <f t="shared" ref="L98:L129" si="33">IF(I98="Yes",SUMPRODUCT(($I$2:$I$201="Yes")*($K$2:$K$201&gt;K98))+1,"")</f>
        <v>39</v>
      </c>
      <c r="M98" s="8">
        <f t="shared" ref="M98:M129" si="34">IFERROR(VALUE(D98),0)</f>
        <v>5.9999999999999995E-4</v>
      </c>
      <c r="N98" s="7" t="str">
        <f t="shared" ref="N98:N129" si="35">IF(M98&gt;0,"Positive",IF(M98&lt;0,"Negative","Flat"))</f>
        <v>Positive</v>
      </c>
      <c r="O98" s="7" t="str">
        <f t="shared" ref="O98:O129" si="36">IF(H98&gt;=1000000000,"High",IF(H98&gt;=10000000,"Medium","Low"))</f>
        <v>Low</v>
      </c>
    </row>
    <row r="99" spans="1:15" x14ac:dyDescent="0.3">
      <c r="A99" s="5" t="s">
        <v>672</v>
      </c>
      <c r="B99" s="5" t="s">
        <v>673</v>
      </c>
      <c r="C99" s="5" t="s">
        <v>674</v>
      </c>
      <c r="D99" s="5" t="s">
        <v>400</v>
      </c>
      <c r="E99" s="5" t="s">
        <v>669</v>
      </c>
      <c r="F99" s="5" t="s">
        <v>675</v>
      </c>
      <c r="G99" s="5" t="s">
        <v>676</v>
      </c>
      <c r="H99" s="6">
        <f t="shared" si="29"/>
        <v>1739142</v>
      </c>
      <c r="I99" s="7" t="str">
        <f t="shared" si="30"/>
        <v>Yes</v>
      </c>
      <c r="J99" s="7">
        <f t="shared" si="31"/>
        <v>28</v>
      </c>
      <c r="K99" s="6">
        <f t="shared" si="32"/>
        <v>15250000</v>
      </c>
      <c r="L99" s="7">
        <f t="shared" si="33"/>
        <v>39</v>
      </c>
      <c r="M99" s="8">
        <f t="shared" si="34"/>
        <v>6.9999999999999999E-4</v>
      </c>
      <c r="N99" s="7" t="str">
        <f t="shared" si="35"/>
        <v>Positive</v>
      </c>
      <c r="O99" s="7" t="str">
        <f t="shared" si="36"/>
        <v>Low</v>
      </c>
    </row>
    <row r="100" spans="1:15" x14ac:dyDescent="0.3">
      <c r="A100" s="5" t="s">
        <v>677</v>
      </c>
      <c r="B100" s="5" t="s">
        <v>678</v>
      </c>
      <c r="C100" s="5" t="s">
        <v>679</v>
      </c>
      <c r="D100" s="5" t="s">
        <v>680</v>
      </c>
      <c r="E100" s="5" t="s">
        <v>681</v>
      </c>
      <c r="F100" s="5" t="s">
        <v>682</v>
      </c>
      <c r="G100" s="5" t="s">
        <v>683</v>
      </c>
      <c r="H100" s="6">
        <f t="shared" si="29"/>
        <v>2771456</v>
      </c>
      <c r="I100" s="7" t="str">
        <f t="shared" si="30"/>
        <v>Yes</v>
      </c>
      <c r="J100" s="7">
        <f t="shared" si="31"/>
        <v>23</v>
      </c>
      <c r="K100" s="6">
        <f t="shared" si="32"/>
        <v>15190000</v>
      </c>
      <c r="L100" s="7">
        <f t="shared" si="33"/>
        <v>41</v>
      </c>
      <c r="M100" s="8">
        <f t="shared" si="34"/>
        <v>7.3000000000000001E-3</v>
      </c>
      <c r="N100" s="7" t="str">
        <f t="shared" si="35"/>
        <v>Positive</v>
      </c>
      <c r="O100" s="7" t="str">
        <f t="shared" si="36"/>
        <v>Low</v>
      </c>
    </row>
    <row r="101" spans="1:15" x14ac:dyDescent="0.3">
      <c r="A101" s="5" t="s">
        <v>684</v>
      </c>
      <c r="B101" s="5" t="s">
        <v>685</v>
      </c>
      <c r="C101" s="5" t="s">
        <v>686</v>
      </c>
      <c r="D101" s="5" t="s">
        <v>687</v>
      </c>
      <c r="E101" s="5" t="s">
        <v>688</v>
      </c>
      <c r="F101" s="5" t="s">
        <v>689</v>
      </c>
      <c r="G101" s="5" t="s">
        <v>690</v>
      </c>
      <c r="H101" s="6">
        <f t="shared" si="29"/>
        <v>128760</v>
      </c>
      <c r="I101" s="7" t="str">
        <f t="shared" si="30"/>
        <v>No</v>
      </c>
      <c r="J101" s="7" t="str">
        <f t="shared" si="31"/>
        <v/>
      </c>
      <c r="K101" s="6">
        <f t="shared" si="32"/>
        <v>15150000</v>
      </c>
      <c r="L101" s="7" t="str">
        <f t="shared" si="33"/>
        <v/>
      </c>
      <c r="M101" s="8">
        <f t="shared" si="34"/>
        <v>2.5100000000000001E-2</v>
      </c>
      <c r="N101" s="7" t="str">
        <f t="shared" si="35"/>
        <v>Positive</v>
      </c>
      <c r="O101" s="7" t="str">
        <f t="shared" si="36"/>
        <v>Low</v>
      </c>
    </row>
    <row r="102" spans="1:15" x14ac:dyDescent="0.3">
      <c r="A102" s="5" t="s">
        <v>691</v>
      </c>
      <c r="B102" s="5" t="s">
        <v>692</v>
      </c>
      <c r="C102" s="5" t="s">
        <v>693</v>
      </c>
      <c r="D102" s="5" t="s">
        <v>440</v>
      </c>
      <c r="E102" s="5" t="s">
        <v>694</v>
      </c>
      <c r="F102" s="5" t="s">
        <v>695</v>
      </c>
      <c r="G102" s="5" t="s">
        <v>696</v>
      </c>
      <c r="H102" s="6">
        <f t="shared" si="29"/>
        <v>654812</v>
      </c>
      <c r="I102" s="7" t="str">
        <f t="shared" si="30"/>
        <v>Yes</v>
      </c>
      <c r="J102" s="7">
        <f t="shared" si="31"/>
        <v>46</v>
      </c>
      <c r="K102" s="6">
        <f t="shared" si="32"/>
        <v>11950000</v>
      </c>
      <c r="L102" s="7">
        <f t="shared" si="33"/>
        <v>43</v>
      </c>
      <c r="M102" s="8">
        <f t="shared" si="34"/>
        <v>3.0999999999999999E-3</v>
      </c>
      <c r="N102" s="7" t="str">
        <f t="shared" si="35"/>
        <v>Positive</v>
      </c>
      <c r="O102" s="7" t="str">
        <f t="shared" si="36"/>
        <v>Low</v>
      </c>
    </row>
    <row r="103" spans="1:15" x14ac:dyDescent="0.3">
      <c r="A103" s="5" t="s">
        <v>697</v>
      </c>
      <c r="B103" s="5" t="s">
        <v>698</v>
      </c>
      <c r="C103" s="5" t="s">
        <v>699</v>
      </c>
      <c r="D103" s="5" t="s">
        <v>155</v>
      </c>
      <c r="E103" s="5" t="s">
        <v>700</v>
      </c>
      <c r="F103" s="5" t="s">
        <v>701</v>
      </c>
      <c r="G103" s="5" t="s">
        <v>702</v>
      </c>
      <c r="H103" s="6">
        <f t="shared" si="29"/>
        <v>3185</v>
      </c>
      <c r="I103" s="7" t="str">
        <f t="shared" si="30"/>
        <v>Yes</v>
      </c>
      <c r="J103" s="7">
        <f t="shared" si="31"/>
        <v>77</v>
      </c>
      <c r="K103" s="6">
        <f t="shared" si="32"/>
        <v>11960000</v>
      </c>
      <c r="L103" s="7">
        <f t="shared" si="33"/>
        <v>42</v>
      </c>
      <c r="M103" s="8">
        <f t="shared" si="34"/>
        <v>1E-4</v>
      </c>
      <c r="N103" s="7" t="str">
        <f t="shared" si="35"/>
        <v>Positive</v>
      </c>
      <c r="O103" s="7" t="str">
        <f t="shared" si="36"/>
        <v>Low</v>
      </c>
    </row>
    <row r="104" spans="1:15" x14ac:dyDescent="0.3">
      <c r="A104" s="5" t="s">
        <v>703</v>
      </c>
      <c r="B104" s="5" t="s">
        <v>704</v>
      </c>
      <c r="C104" s="5" t="s">
        <v>705</v>
      </c>
      <c r="D104" s="5" t="s">
        <v>706</v>
      </c>
      <c r="E104" s="5" t="s">
        <v>700</v>
      </c>
      <c r="F104" s="5" t="s">
        <v>707</v>
      </c>
      <c r="G104" s="5" t="s">
        <v>708</v>
      </c>
      <c r="H104" s="6">
        <f t="shared" si="29"/>
        <v>4772</v>
      </c>
      <c r="I104" s="7" t="str">
        <f t="shared" si="30"/>
        <v>No</v>
      </c>
      <c r="J104" s="7" t="str">
        <f t="shared" si="31"/>
        <v/>
      </c>
      <c r="K104" s="6">
        <f t="shared" si="32"/>
        <v>11960000</v>
      </c>
      <c r="L104" s="7" t="str">
        <f t="shared" si="33"/>
        <v/>
      </c>
      <c r="M104" s="8">
        <f t="shared" si="34"/>
        <v>4.0500000000000001E-2</v>
      </c>
      <c r="N104" s="7" t="str">
        <f t="shared" si="35"/>
        <v>Positive</v>
      </c>
      <c r="O104" s="7" t="str">
        <f t="shared" si="36"/>
        <v>Low</v>
      </c>
    </row>
    <row r="105" spans="1:15" x14ac:dyDescent="0.3">
      <c r="A105" s="5" t="s">
        <v>709</v>
      </c>
      <c r="B105" s="5" t="s">
        <v>710</v>
      </c>
      <c r="C105" s="5" t="s">
        <v>711</v>
      </c>
      <c r="D105" s="5" t="s">
        <v>712</v>
      </c>
      <c r="E105" s="5" t="s">
        <v>694</v>
      </c>
      <c r="F105" s="5" t="s">
        <v>713</v>
      </c>
      <c r="G105" s="5" t="s">
        <v>714</v>
      </c>
      <c r="H105" s="6">
        <f t="shared" si="29"/>
        <v>680959</v>
      </c>
      <c r="I105" s="7" t="str">
        <f t="shared" si="30"/>
        <v>Yes</v>
      </c>
      <c r="J105" s="7">
        <f t="shared" si="31"/>
        <v>45</v>
      </c>
      <c r="K105" s="6">
        <f t="shared" si="32"/>
        <v>11950000</v>
      </c>
      <c r="L105" s="7">
        <f t="shared" si="33"/>
        <v>43</v>
      </c>
      <c r="M105" s="8">
        <f t="shared" si="34"/>
        <v>5.1000000000000004E-3</v>
      </c>
      <c r="N105" s="7" t="str">
        <f t="shared" si="35"/>
        <v>Positive</v>
      </c>
      <c r="O105" s="7" t="str">
        <f t="shared" si="36"/>
        <v>Low</v>
      </c>
    </row>
    <row r="106" spans="1:15" x14ac:dyDescent="0.3">
      <c r="A106" s="5" t="s">
        <v>715</v>
      </c>
      <c r="B106" s="5" t="s">
        <v>716</v>
      </c>
      <c r="C106" s="5" t="s">
        <v>717</v>
      </c>
      <c r="D106" s="5" t="s">
        <v>64</v>
      </c>
      <c r="E106" s="5" t="s">
        <v>694</v>
      </c>
      <c r="F106" s="5" t="s">
        <v>718</v>
      </c>
      <c r="G106" s="5" t="s">
        <v>719</v>
      </c>
      <c r="H106" s="6">
        <f t="shared" si="29"/>
        <v>2332177</v>
      </c>
      <c r="I106" s="7" t="str">
        <f t="shared" si="30"/>
        <v>No</v>
      </c>
      <c r="J106" s="7" t="str">
        <f t="shared" si="31"/>
        <v/>
      </c>
      <c r="K106" s="6">
        <f t="shared" si="32"/>
        <v>11950000</v>
      </c>
      <c r="L106" s="7" t="str">
        <f t="shared" si="33"/>
        <v/>
      </c>
      <c r="M106" s="8">
        <f t="shared" si="34"/>
        <v>2.9999999999999997E-4</v>
      </c>
      <c r="N106" s="7" t="str">
        <f t="shared" si="35"/>
        <v>Positive</v>
      </c>
      <c r="O106" s="7" t="str">
        <f t="shared" si="36"/>
        <v>Low</v>
      </c>
    </row>
    <row r="107" spans="1:15" x14ac:dyDescent="0.3">
      <c r="A107" s="5" t="s">
        <v>720</v>
      </c>
      <c r="B107" s="5" t="s">
        <v>721</v>
      </c>
      <c r="C107" s="5" t="s">
        <v>722</v>
      </c>
      <c r="D107" s="5" t="s">
        <v>467</v>
      </c>
      <c r="E107" s="5" t="s">
        <v>723</v>
      </c>
      <c r="F107" s="5" t="s">
        <v>724</v>
      </c>
      <c r="G107" s="5" t="s">
        <v>725</v>
      </c>
      <c r="H107" s="6">
        <f t="shared" si="29"/>
        <v>2707699</v>
      </c>
      <c r="I107" s="7" t="str">
        <f t="shared" si="30"/>
        <v>No</v>
      </c>
      <c r="J107" s="7" t="str">
        <f t="shared" si="31"/>
        <v/>
      </c>
      <c r="K107" s="6">
        <f t="shared" si="32"/>
        <v>11920000</v>
      </c>
      <c r="L107" s="7" t="str">
        <f t="shared" si="33"/>
        <v/>
      </c>
      <c r="M107" s="8">
        <f t="shared" si="34"/>
        <v>5.0000000000000001E-4</v>
      </c>
      <c r="N107" s="7" t="str">
        <f t="shared" si="35"/>
        <v>Positive</v>
      </c>
      <c r="O107" s="7" t="str">
        <f t="shared" si="36"/>
        <v>Low</v>
      </c>
    </row>
    <row r="108" spans="1:15" x14ac:dyDescent="0.3">
      <c r="A108" s="5" t="s">
        <v>726</v>
      </c>
      <c r="B108" s="5" t="s">
        <v>727</v>
      </c>
      <c r="C108" s="5" t="s">
        <v>728</v>
      </c>
      <c r="D108" s="5" t="s">
        <v>729</v>
      </c>
      <c r="E108" s="5" t="s">
        <v>730</v>
      </c>
      <c r="F108" s="5" t="s">
        <v>731</v>
      </c>
      <c r="G108" s="5" t="s">
        <v>732</v>
      </c>
      <c r="H108" s="6">
        <f t="shared" si="29"/>
        <v>708276</v>
      </c>
      <c r="I108" s="7" t="str">
        <f t="shared" si="30"/>
        <v>No</v>
      </c>
      <c r="J108" s="7" t="str">
        <f t="shared" si="31"/>
        <v/>
      </c>
      <c r="K108" s="6">
        <f t="shared" si="32"/>
        <v>11850000</v>
      </c>
      <c r="L108" s="7" t="str">
        <f t="shared" si="33"/>
        <v/>
      </c>
      <c r="M108" s="8">
        <f t="shared" si="34"/>
        <v>2.2000000000000001E-3</v>
      </c>
      <c r="N108" s="7" t="str">
        <f t="shared" si="35"/>
        <v>Positive</v>
      </c>
      <c r="O108" s="7" t="str">
        <f t="shared" si="36"/>
        <v>Low</v>
      </c>
    </row>
    <row r="109" spans="1:15" x14ac:dyDescent="0.3">
      <c r="A109" s="5" t="s">
        <v>733</v>
      </c>
      <c r="B109" s="5" t="s">
        <v>734</v>
      </c>
      <c r="C109" s="5" t="s">
        <v>735</v>
      </c>
      <c r="D109" s="5" t="s">
        <v>736</v>
      </c>
      <c r="E109" s="5" t="s">
        <v>737</v>
      </c>
      <c r="F109" s="5" t="s">
        <v>738</v>
      </c>
      <c r="G109" s="5" t="s">
        <v>739</v>
      </c>
      <c r="H109" s="6">
        <f t="shared" si="29"/>
        <v>1407422</v>
      </c>
      <c r="I109" s="7" t="str">
        <f t="shared" si="30"/>
        <v>Yes</v>
      </c>
      <c r="J109" s="7">
        <f t="shared" si="31"/>
        <v>34</v>
      </c>
      <c r="K109" s="6">
        <f t="shared" si="32"/>
        <v>11810000</v>
      </c>
      <c r="L109" s="7">
        <f t="shared" si="33"/>
        <v>45</v>
      </c>
      <c r="M109" s="8">
        <f t="shared" si="34"/>
        <v>1.41E-2</v>
      </c>
      <c r="N109" s="7" t="str">
        <f t="shared" si="35"/>
        <v>Positive</v>
      </c>
      <c r="O109" s="7" t="str">
        <f t="shared" si="36"/>
        <v>Low</v>
      </c>
    </row>
    <row r="110" spans="1:15" x14ac:dyDescent="0.3">
      <c r="A110" s="5" t="s">
        <v>740</v>
      </c>
      <c r="B110" s="5" t="s">
        <v>741</v>
      </c>
      <c r="C110" s="5" t="s">
        <v>742</v>
      </c>
      <c r="D110" s="5" t="s">
        <v>567</v>
      </c>
      <c r="E110" s="5" t="s">
        <v>743</v>
      </c>
      <c r="F110" s="5" t="s">
        <v>744</v>
      </c>
      <c r="G110" s="5" t="s">
        <v>745</v>
      </c>
      <c r="H110" s="6">
        <f t="shared" si="29"/>
        <v>1737116</v>
      </c>
      <c r="I110" s="7" t="str">
        <f t="shared" si="30"/>
        <v>Yes</v>
      </c>
      <c r="J110" s="7">
        <f t="shared" si="31"/>
        <v>29</v>
      </c>
      <c r="K110" s="6">
        <f t="shared" si="32"/>
        <v>11610000</v>
      </c>
      <c r="L110" s="7">
        <f t="shared" si="33"/>
        <v>47</v>
      </c>
      <c r="M110" s="8">
        <f t="shared" si="34"/>
        <v>4.1999999999999997E-3</v>
      </c>
      <c r="N110" s="7" t="str">
        <f t="shared" si="35"/>
        <v>Positive</v>
      </c>
      <c r="O110" s="7" t="str">
        <f t="shared" si="36"/>
        <v>Low</v>
      </c>
    </row>
    <row r="111" spans="1:15" x14ac:dyDescent="0.3">
      <c r="A111" s="5" t="s">
        <v>746</v>
      </c>
      <c r="B111" s="5" t="s">
        <v>747</v>
      </c>
      <c r="C111" s="5" t="s">
        <v>748</v>
      </c>
      <c r="D111" s="5" t="s">
        <v>749</v>
      </c>
      <c r="E111" s="5" t="s">
        <v>750</v>
      </c>
      <c r="F111" s="5" t="s">
        <v>751</v>
      </c>
      <c r="G111" s="5" t="s">
        <v>752</v>
      </c>
      <c r="H111" s="6">
        <f t="shared" si="29"/>
        <v>525209</v>
      </c>
      <c r="I111" s="7" t="str">
        <f t="shared" si="30"/>
        <v>Yes</v>
      </c>
      <c r="J111" s="7">
        <f t="shared" si="31"/>
        <v>47</v>
      </c>
      <c r="K111" s="6">
        <f t="shared" si="32"/>
        <v>11750000</v>
      </c>
      <c r="L111" s="7">
        <f t="shared" si="33"/>
        <v>46</v>
      </c>
      <c r="M111" s="8">
        <f t="shared" si="34"/>
        <v>1.6000000000000001E-3</v>
      </c>
      <c r="N111" s="7" t="str">
        <f t="shared" si="35"/>
        <v>Positive</v>
      </c>
      <c r="O111" s="7" t="str">
        <f t="shared" si="36"/>
        <v>Low</v>
      </c>
    </row>
    <row r="112" spans="1:15" x14ac:dyDescent="0.3">
      <c r="A112" s="5" t="s">
        <v>753</v>
      </c>
      <c r="B112" s="5" t="s">
        <v>754</v>
      </c>
      <c r="C112" s="5" t="s">
        <v>755</v>
      </c>
      <c r="D112" s="5" t="s">
        <v>454</v>
      </c>
      <c r="E112" s="5" t="s">
        <v>756</v>
      </c>
      <c r="F112" s="5" t="s">
        <v>757</v>
      </c>
      <c r="G112" s="5" t="s">
        <v>758</v>
      </c>
      <c r="H112" s="6">
        <f t="shared" si="29"/>
        <v>202163</v>
      </c>
      <c r="I112" s="7" t="str">
        <f t="shared" si="30"/>
        <v>No</v>
      </c>
      <c r="J112" s="7" t="str">
        <f t="shared" si="31"/>
        <v/>
      </c>
      <c r="K112" s="6">
        <f t="shared" si="32"/>
        <v>9280000</v>
      </c>
      <c r="L112" s="7" t="str">
        <f t="shared" si="33"/>
        <v/>
      </c>
      <c r="M112" s="8">
        <f t="shared" si="34"/>
        <v>2.5000000000000001E-3</v>
      </c>
      <c r="N112" s="7" t="str">
        <f t="shared" si="35"/>
        <v>Positive</v>
      </c>
      <c r="O112" s="7" t="str">
        <f t="shared" si="36"/>
        <v>Low</v>
      </c>
    </row>
    <row r="113" spans="1:15" x14ac:dyDescent="0.3">
      <c r="A113" s="5" t="s">
        <v>759</v>
      </c>
      <c r="B113" s="5" t="s">
        <v>760</v>
      </c>
      <c r="C113" s="5" t="s">
        <v>761</v>
      </c>
      <c r="D113" s="5" t="s">
        <v>201</v>
      </c>
      <c r="E113" s="5" t="s">
        <v>762</v>
      </c>
      <c r="F113" s="5" t="s">
        <v>763</v>
      </c>
      <c r="G113" s="5" t="s">
        <v>764</v>
      </c>
      <c r="H113" s="6">
        <f t="shared" si="29"/>
        <v>0</v>
      </c>
      <c r="I113" s="7" t="str">
        <f t="shared" si="30"/>
        <v>Yes</v>
      </c>
      <c r="J113" s="7">
        <f t="shared" si="31"/>
        <v>85</v>
      </c>
      <c r="K113" s="6">
        <f t="shared" si="32"/>
        <v>9260000</v>
      </c>
      <c r="L113" s="7">
        <f t="shared" si="33"/>
        <v>48</v>
      </c>
      <c r="M113" s="8">
        <f t="shared" si="34"/>
        <v>0</v>
      </c>
      <c r="N113" s="7" t="str">
        <f t="shared" si="35"/>
        <v>Flat</v>
      </c>
      <c r="O113" s="7" t="str">
        <f t="shared" si="36"/>
        <v>Low</v>
      </c>
    </row>
    <row r="114" spans="1:15" x14ac:dyDescent="0.3">
      <c r="A114" s="5" t="s">
        <v>765</v>
      </c>
      <c r="B114" s="5" t="s">
        <v>766</v>
      </c>
      <c r="C114" s="5" t="s">
        <v>767</v>
      </c>
      <c r="D114" s="5" t="s">
        <v>768</v>
      </c>
      <c r="E114" s="5" t="s">
        <v>769</v>
      </c>
      <c r="F114" s="5" t="s">
        <v>770</v>
      </c>
      <c r="G114" s="5" t="s">
        <v>771</v>
      </c>
      <c r="H114" s="6">
        <f t="shared" si="29"/>
        <v>7687892</v>
      </c>
      <c r="I114" s="7" t="str">
        <f t="shared" si="30"/>
        <v>No</v>
      </c>
      <c r="J114" s="7" t="str">
        <f t="shared" si="31"/>
        <v/>
      </c>
      <c r="K114" s="6">
        <f t="shared" si="32"/>
        <v>9170000</v>
      </c>
      <c r="L114" s="7" t="str">
        <f t="shared" si="33"/>
        <v/>
      </c>
      <c r="M114" s="8">
        <f t="shared" si="34"/>
        <v>1.1999999999999999E-3</v>
      </c>
      <c r="N114" s="7" t="str">
        <f t="shared" si="35"/>
        <v>Positive</v>
      </c>
      <c r="O114" s="7" t="str">
        <f t="shared" si="36"/>
        <v>Low</v>
      </c>
    </row>
    <row r="115" spans="1:15" x14ac:dyDescent="0.3">
      <c r="A115" s="5" t="s">
        <v>772</v>
      </c>
      <c r="B115" s="5" t="s">
        <v>773</v>
      </c>
      <c r="C115" s="5" t="s">
        <v>774</v>
      </c>
      <c r="D115" s="5" t="s">
        <v>775</v>
      </c>
      <c r="E115" s="5" t="s">
        <v>762</v>
      </c>
      <c r="F115" s="5" t="s">
        <v>776</v>
      </c>
      <c r="G115" s="5" t="s">
        <v>777</v>
      </c>
      <c r="H115" s="6">
        <f t="shared" si="29"/>
        <v>75137</v>
      </c>
      <c r="I115" s="7" t="str">
        <f t="shared" si="30"/>
        <v>No</v>
      </c>
      <c r="J115" s="7" t="str">
        <f t="shared" si="31"/>
        <v/>
      </c>
      <c r="K115" s="6">
        <f t="shared" si="32"/>
        <v>9260000</v>
      </c>
      <c r="L115" s="7" t="str">
        <f t="shared" si="33"/>
        <v/>
      </c>
      <c r="M115" s="8">
        <f t="shared" si="34"/>
        <v>8.8000000000000005E-3</v>
      </c>
      <c r="N115" s="7" t="str">
        <f t="shared" si="35"/>
        <v>Positive</v>
      </c>
      <c r="O115" s="7" t="str">
        <f t="shared" si="36"/>
        <v>Low</v>
      </c>
    </row>
    <row r="116" spans="1:15" x14ac:dyDescent="0.3">
      <c r="A116" s="5" t="s">
        <v>778</v>
      </c>
      <c r="B116" s="5" t="s">
        <v>76</v>
      </c>
      <c r="C116" s="5" t="s">
        <v>779</v>
      </c>
      <c r="D116" s="5" t="s">
        <v>780</v>
      </c>
      <c r="E116" s="5" t="s">
        <v>781</v>
      </c>
      <c r="F116" s="5" t="s">
        <v>782</v>
      </c>
      <c r="G116" s="5" t="s">
        <v>783</v>
      </c>
      <c r="H116" s="6">
        <f t="shared" si="29"/>
        <v>1315522</v>
      </c>
      <c r="I116" s="7" t="str">
        <f t="shared" si="30"/>
        <v>Yes</v>
      </c>
      <c r="J116" s="7">
        <f t="shared" si="31"/>
        <v>37</v>
      </c>
      <c r="K116" s="6">
        <f t="shared" si="32"/>
        <v>9250000</v>
      </c>
      <c r="L116" s="7">
        <f t="shared" si="33"/>
        <v>49</v>
      </c>
      <c r="M116" s="8">
        <f t="shared" si="34"/>
        <v>1.3899999999999999E-2</v>
      </c>
      <c r="N116" s="7" t="str">
        <f t="shared" si="35"/>
        <v>Positive</v>
      </c>
      <c r="O116" s="7" t="str">
        <f t="shared" si="36"/>
        <v>Low</v>
      </c>
    </row>
    <row r="117" spans="1:15" x14ac:dyDescent="0.3">
      <c r="A117" s="5" t="s">
        <v>784</v>
      </c>
      <c r="B117" s="5" t="s">
        <v>785</v>
      </c>
      <c r="C117" s="5" t="s">
        <v>786</v>
      </c>
      <c r="D117" s="5" t="s">
        <v>560</v>
      </c>
      <c r="E117" s="5" t="s">
        <v>787</v>
      </c>
      <c r="F117" s="5" t="s">
        <v>788</v>
      </c>
      <c r="G117" s="5" t="s">
        <v>789</v>
      </c>
      <c r="H117" s="6">
        <f t="shared" si="29"/>
        <v>8504736</v>
      </c>
      <c r="I117" s="7" t="str">
        <f t="shared" si="30"/>
        <v>No</v>
      </c>
      <c r="J117" s="7" t="str">
        <f t="shared" si="31"/>
        <v/>
      </c>
      <c r="K117" s="6">
        <f t="shared" si="32"/>
        <v>9080000</v>
      </c>
      <c r="L117" s="7" t="str">
        <f t="shared" si="33"/>
        <v/>
      </c>
      <c r="M117" s="8">
        <f t="shared" si="34"/>
        <v>1.26E-2</v>
      </c>
      <c r="N117" s="7" t="str">
        <f t="shared" si="35"/>
        <v>Positive</v>
      </c>
      <c r="O117" s="7" t="str">
        <f t="shared" si="36"/>
        <v>Low</v>
      </c>
    </row>
    <row r="118" spans="1:15" x14ac:dyDescent="0.3">
      <c r="A118" s="5" t="s">
        <v>790</v>
      </c>
      <c r="B118" s="5" t="s">
        <v>791</v>
      </c>
      <c r="C118" s="5" t="s">
        <v>792</v>
      </c>
      <c r="D118" s="5" t="s">
        <v>793</v>
      </c>
      <c r="E118" s="5" t="s">
        <v>794</v>
      </c>
      <c r="F118" s="5" t="s">
        <v>795</v>
      </c>
      <c r="G118" s="5" t="s">
        <v>796</v>
      </c>
      <c r="H118" s="6">
        <f t="shared" si="29"/>
        <v>232710</v>
      </c>
      <c r="I118" s="7" t="str">
        <f t="shared" si="30"/>
        <v>Yes</v>
      </c>
      <c r="J118" s="7">
        <f t="shared" si="31"/>
        <v>55</v>
      </c>
      <c r="K118" s="6">
        <f t="shared" si="32"/>
        <v>9120000</v>
      </c>
      <c r="L118" s="7">
        <f t="shared" si="33"/>
        <v>50</v>
      </c>
      <c r="M118" s="8">
        <f t="shared" si="34"/>
        <v>1.7999999999999999E-2</v>
      </c>
      <c r="N118" s="7" t="str">
        <f t="shared" si="35"/>
        <v>Positive</v>
      </c>
      <c r="O118" s="7" t="str">
        <f t="shared" si="36"/>
        <v>Low</v>
      </c>
    </row>
    <row r="119" spans="1:15" x14ac:dyDescent="0.3">
      <c r="A119" s="5" t="s">
        <v>797</v>
      </c>
      <c r="B119" s="5" t="s">
        <v>798</v>
      </c>
      <c r="C119" s="5" t="s">
        <v>799</v>
      </c>
      <c r="D119" s="5" t="s">
        <v>168</v>
      </c>
      <c r="E119" s="5" t="s">
        <v>787</v>
      </c>
      <c r="F119" s="5" t="s">
        <v>800</v>
      </c>
      <c r="G119" s="5" t="s">
        <v>801</v>
      </c>
      <c r="H119" s="6">
        <f t="shared" si="29"/>
        <v>351905</v>
      </c>
      <c r="I119" s="7" t="str">
        <f t="shared" si="30"/>
        <v>Yes</v>
      </c>
      <c r="J119" s="7">
        <f t="shared" si="31"/>
        <v>50</v>
      </c>
      <c r="K119" s="6">
        <f t="shared" si="32"/>
        <v>9080000</v>
      </c>
      <c r="L119" s="7">
        <f t="shared" si="33"/>
        <v>51</v>
      </c>
      <c r="M119" s="8">
        <f t="shared" si="34"/>
        <v>4.4999999999999997E-3</v>
      </c>
      <c r="N119" s="7" t="str">
        <f t="shared" si="35"/>
        <v>Positive</v>
      </c>
      <c r="O119" s="7" t="str">
        <f t="shared" si="36"/>
        <v>Low</v>
      </c>
    </row>
    <row r="120" spans="1:15" x14ac:dyDescent="0.3">
      <c r="A120" s="5" t="s">
        <v>802</v>
      </c>
      <c r="B120" s="5" t="s">
        <v>803</v>
      </c>
      <c r="C120" s="5" t="s">
        <v>804</v>
      </c>
      <c r="D120" s="5" t="s">
        <v>805</v>
      </c>
      <c r="E120" s="5" t="s">
        <v>806</v>
      </c>
      <c r="F120" s="5" t="s">
        <v>807</v>
      </c>
      <c r="G120" s="5" t="s">
        <v>808</v>
      </c>
      <c r="H120" s="6">
        <f t="shared" si="29"/>
        <v>1959456</v>
      </c>
      <c r="I120" s="7" t="str">
        <f t="shared" si="30"/>
        <v>No</v>
      </c>
      <c r="J120" s="7" t="str">
        <f t="shared" si="31"/>
        <v/>
      </c>
      <c r="K120" s="6">
        <f t="shared" si="32"/>
        <v>9070000</v>
      </c>
      <c r="L120" s="7" t="str">
        <f t="shared" si="33"/>
        <v/>
      </c>
      <c r="M120" s="8">
        <f t="shared" si="34"/>
        <v>2.18E-2</v>
      </c>
      <c r="N120" s="7" t="str">
        <f t="shared" si="35"/>
        <v>Positive</v>
      </c>
      <c r="O120" s="7" t="str">
        <f t="shared" si="36"/>
        <v>Low</v>
      </c>
    </row>
    <row r="121" spans="1:15" x14ac:dyDescent="0.3">
      <c r="A121" s="5" t="s">
        <v>809</v>
      </c>
      <c r="B121" s="5" t="s">
        <v>810</v>
      </c>
      <c r="C121" s="5" t="s">
        <v>811</v>
      </c>
      <c r="D121" s="5" t="s">
        <v>812</v>
      </c>
      <c r="E121" s="5" t="s">
        <v>806</v>
      </c>
      <c r="F121" s="5" t="s">
        <v>813</v>
      </c>
      <c r="G121" s="5" t="s">
        <v>814</v>
      </c>
      <c r="H121" s="6">
        <f t="shared" si="29"/>
        <v>196385</v>
      </c>
      <c r="I121" s="7" t="str">
        <f t="shared" si="30"/>
        <v>No</v>
      </c>
      <c r="J121" s="7" t="str">
        <f t="shared" si="31"/>
        <v/>
      </c>
      <c r="K121" s="6">
        <f t="shared" si="32"/>
        <v>9070000</v>
      </c>
      <c r="L121" s="7" t="str">
        <f t="shared" si="33"/>
        <v/>
      </c>
      <c r="M121" s="8">
        <f t="shared" si="34"/>
        <v>1.4200000000000001E-2</v>
      </c>
      <c r="N121" s="7" t="str">
        <f t="shared" si="35"/>
        <v>Positive</v>
      </c>
      <c r="O121" s="7" t="str">
        <f t="shared" si="36"/>
        <v>Low</v>
      </c>
    </row>
    <row r="122" spans="1:15" x14ac:dyDescent="0.3">
      <c r="A122" s="5" t="s">
        <v>815</v>
      </c>
      <c r="B122" s="5" t="s">
        <v>816</v>
      </c>
      <c r="C122" s="5" t="s">
        <v>817</v>
      </c>
      <c r="D122" s="5" t="s">
        <v>168</v>
      </c>
      <c r="E122" s="5" t="s">
        <v>818</v>
      </c>
      <c r="F122" s="5" t="s">
        <v>763</v>
      </c>
      <c r="G122" s="5" t="s">
        <v>819</v>
      </c>
      <c r="H122" s="6">
        <f t="shared" si="29"/>
        <v>0</v>
      </c>
      <c r="I122" s="7" t="str">
        <f t="shared" si="30"/>
        <v>No</v>
      </c>
      <c r="J122" s="7" t="str">
        <f t="shared" si="31"/>
        <v/>
      </c>
      <c r="K122" s="6">
        <f t="shared" si="32"/>
        <v>7040000</v>
      </c>
      <c r="L122" s="7" t="str">
        <f t="shared" si="33"/>
        <v/>
      </c>
      <c r="M122" s="8">
        <f t="shared" si="34"/>
        <v>4.4999999999999997E-3</v>
      </c>
      <c r="N122" s="7" t="str">
        <f t="shared" si="35"/>
        <v>Positive</v>
      </c>
      <c r="O122" s="7" t="str">
        <f t="shared" si="36"/>
        <v>Low</v>
      </c>
    </row>
    <row r="123" spans="1:15" x14ac:dyDescent="0.3">
      <c r="A123" s="5" t="s">
        <v>820</v>
      </c>
      <c r="B123" s="5" t="s">
        <v>820</v>
      </c>
      <c r="C123" s="5" t="s">
        <v>821</v>
      </c>
      <c r="D123" s="5" t="s">
        <v>330</v>
      </c>
      <c r="E123" s="5" t="s">
        <v>818</v>
      </c>
      <c r="F123" s="5" t="s">
        <v>822</v>
      </c>
      <c r="G123" s="5" t="s">
        <v>823</v>
      </c>
      <c r="H123" s="6">
        <f t="shared" si="29"/>
        <v>3410421</v>
      </c>
      <c r="I123" s="7" t="str">
        <f t="shared" si="30"/>
        <v>No</v>
      </c>
      <c r="J123" s="7" t="str">
        <f t="shared" si="31"/>
        <v/>
      </c>
      <c r="K123" s="6">
        <f t="shared" si="32"/>
        <v>7040000</v>
      </c>
      <c r="L123" s="7" t="str">
        <f t="shared" si="33"/>
        <v/>
      </c>
      <c r="M123" s="8">
        <f t="shared" si="34"/>
        <v>1.09E-2</v>
      </c>
      <c r="N123" s="7" t="str">
        <f t="shared" si="35"/>
        <v>Positive</v>
      </c>
      <c r="O123" s="7" t="str">
        <f t="shared" si="36"/>
        <v>Low</v>
      </c>
    </row>
    <row r="124" spans="1:15" x14ac:dyDescent="0.3">
      <c r="A124" s="5" t="s">
        <v>824</v>
      </c>
      <c r="B124" s="5" t="s">
        <v>825</v>
      </c>
      <c r="C124" s="5" t="s">
        <v>826</v>
      </c>
      <c r="D124" s="5" t="s">
        <v>454</v>
      </c>
      <c r="E124" s="5" t="s">
        <v>827</v>
      </c>
      <c r="F124" s="5" t="s">
        <v>828</v>
      </c>
      <c r="G124" s="5" t="s">
        <v>829</v>
      </c>
      <c r="H124" s="6">
        <f t="shared" si="29"/>
        <v>191443</v>
      </c>
      <c r="I124" s="7" t="str">
        <f t="shared" si="30"/>
        <v>Yes</v>
      </c>
      <c r="J124" s="7">
        <f t="shared" si="31"/>
        <v>58</v>
      </c>
      <c r="K124" s="6">
        <f t="shared" si="32"/>
        <v>7030000</v>
      </c>
      <c r="L124" s="7">
        <f t="shared" si="33"/>
        <v>52</v>
      </c>
      <c r="M124" s="8">
        <f t="shared" si="34"/>
        <v>2.5000000000000001E-3</v>
      </c>
      <c r="N124" s="7" t="str">
        <f t="shared" si="35"/>
        <v>Positive</v>
      </c>
      <c r="O124" s="7" t="str">
        <f t="shared" si="36"/>
        <v>Low</v>
      </c>
    </row>
    <row r="125" spans="1:15" x14ac:dyDescent="0.3">
      <c r="A125" s="5" t="s">
        <v>830</v>
      </c>
      <c r="B125" s="5" t="s">
        <v>831</v>
      </c>
      <c r="C125" s="5" t="s">
        <v>832</v>
      </c>
      <c r="D125" s="5" t="s">
        <v>365</v>
      </c>
      <c r="E125" s="5" t="s">
        <v>833</v>
      </c>
      <c r="F125" s="5" t="s">
        <v>834</v>
      </c>
      <c r="G125" s="5" t="s">
        <v>835</v>
      </c>
      <c r="H125" s="6">
        <f t="shared" si="29"/>
        <v>166190</v>
      </c>
      <c r="I125" s="7" t="str">
        <f t="shared" si="30"/>
        <v>No</v>
      </c>
      <c r="J125" s="7" t="str">
        <f t="shared" si="31"/>
        <v/>
      </c>
      <c r="K125" s="6">
        <f t="shared" si="32"/>
        <v>7020000</v>
      </c>
      <c r="L125" s="7" t="str">
        <f t="shared" si="33"/>
        <v/>
      </c>
      <c r="M125" s="8">
        <f t="shared" si="34"/>
        <v>5.3E-3</v>
      </c>
      <c r="N125" s="7" t="str">
        <f t="shared" si="35"/>
        <v>Positive</v>
      </c>
      <c r="O125" s="7" t="str">
        <f t="shared" si="36"/>
        <v>Low</v>
      </c>
    </row>
    <row r="126" spans="1:15" x14ac:dyDescent="0.3">
      <c r="A126" s="5" t="s">
        <v>836</v>
      </c>
      <c r="B126" s="5" t="s">
        <v>837</v>
      </c>
      <c r="C126" s="5" t="s">
        <v>838</v>
      </c>
      <c r="D126" s="5" t="s">
        <v>637</v>
      </c>
      <c r="E126" s="5" t="s">
        <v>827</v>
      </c>
      <c r="F126" s="5" t="s">
        <v>839</v>
      </c>
      <c r="G126" s="5" t="s">
        <v>840</v>
      </c>
      <c r="H126" s="6">
        <f t="shared" si="29"/>
        <v>43739</v>
      </c>
      <c r="I126" s="7" t="str">
        <f t="shared" si="30"/>
        <v>Yes</v>
      </c>
      <c r="J126" s="7">
        <f t="shared" si="31"/>
        <v>71</v>
      </c>
      <c r="K126" s="6">
        <f t="shared" si="32"/>
        <v>7030000</v>
      </c>
      <c r="L126" s="7">
        <f t="shared" si="33"/>
        <v>52</v>
      </c>
      <c r="M126" s="8">
        <f t="shared" si="34"/>
        <v>4.0000000000000001E-3</v>
      </c>
      <c r="N126" s="7" t="str">
        <f t="shared" si="35"/>
        <v>Positive</v>
      </c>
      <c r="O126" s="7" t="str">
        <f t="shared" si="36"/>
        <v>Low</v>
      </c>
    </row>
    <row r="127" spans="1:15" x14ac:dyDescent="0.3">
      <c r="A127" s="5" t="s">
        <v>841</v>
      </c>
      <c r="B127" s="5" t="s">
        <v>842</v>
      </c>
      <c r="C127" s="5" t="s">
        <v>843</v>
      </c>
      <c r="D127" s="5" t="s">
        <v>812</v>
      </c>
      <c r="E127" s="5" t="s">
        <v>827</v>
      </c>
      <c r="F127" s="5" t="s">
        <v>844</v>
      </c>
      <c r="G127" s="5" t="s">
        <v>845</v>
      </c>
      <c r="H127" s="6">
        <f t="shared" si="29"/>
        <v>2191863</v>
      </c>
      <c r="I127" s="7" t="str">
        <f t="shared" si="30"/>
        <v>No</v>
      </c>
      <c r="J127" s="7" t="str">
        <f t="shared" si="31"/>
        <v/>
      </c>
      <c r="K127" s="6">
        <f t="shared" si="32"/>
        <v>7030000</v>
      </c>
      <c r="L127" s="7" t="str">
        <f t="shared" si="33"/>
        <v/>
      </c>
      <c r="M127" s="8">
        <f t="shared" si="34"/>
        <v>1.4200000000000001E-2</v>
      </c>
      <c r="N127" s="7" t="str">
        <f t="shared" si="35"/>
        <v>Positive</v>
      </c>
      <c r="O127" s="7" t="str">
        <f t="shared" si="36"/>
        <v>Low</v>
      </c>
    </row>
    <row r="128" spans="1:15" x14ac:dyDescent="0.3">
      <c r="A128" s="5" t="s">
        <v>846</v>
      </c>
      <c r="B128" s="5" t="s">
        <v>847</v>
      </c>
      <c r="C128" s="5" t="s">
        <v>848</v>
      </c>
      <c r="D128" s="5" t="s">
        <v>849</v>
      </c>
      <c r="E128" s="5" t="s">
        <v>850</v>
      </c>
      <c r="F128" s="5" t="s">
        <v>851</v>
      </c>
      <c r="G128" s="5" t="s">
        <v>852</v>
      </c>
      <c r="H128" s="6">
        <f t="shared" si="29"/>
        <v>495661</v>
      </c>
      <c r="I128" s="7" t="str">
        <f t="shared" si="30"/>
        <v>No</v>
      </c>
      <c r="J128" s="7" t="str">
        <f t="shared" si="31"/>
        <v/>
      </c>
      <c r="K128" s="6">
        <f t="shared" si="32"/>
        <v>6990000</v>
      </c>
      <c r="L128" s="7" t="str">
        <f t="shared" si="33"/>
        <v/>
      </c>
      <c r="M128" s="8">
        <f t="shared" si="34"/>
        <v>7.0000000000000001E-3</v>
      </c>
      <c r="N128" s="7" t="str">
        <f t="shared" si="35"/>
        <v>Positive</v>
      </c>
      <c r="O128" s="7" t="str">
        <f t="shared" si="36"/>
        <v>Low</v>
      </c>
    </row>
    <row r="129" spans="1:15" x14ac:dyDescent="0.3">
      <c r="A129" s="5" t="s">
        <v>853</v>
      </c>
      <c r="B129" s="5" t="s">
        <v>854</v>
      </c>
      <c r="C129" s="5" t="s">
        <v>855</v>
      </c>
      <c r="D129" s="5" t="s">
        <v>201</v>
      </c>
      <c r="E129" s="5" t="s">
        <v>856</v>
      </c>
      <c r="F129" s="5" t="s">
        <v>763</v>
      </c>
      <c r="G129" s="5" t="s">
        <v>857</v>
      </c>
      <c r="H129" s="6">
        <f t="shared" si="29"/>
        <v>0</v>
      </c>
      <c r="I129" s="7" t="str">
        <f t="shared" si="30"/>
        <v>No</v>
      </c>
      <c r="J129" s="7" t="str">
        <f t="shared" si="31"/>
        <v/>
      </c>
      <c r="K129" s="6">
        <f t="shared" si="32"/>
        <v>6960000</v>
      </c>
      <c r="L129" s="7" t="str">
        <f t="shared" si="33"/>
        <v/>
      </c>
      <c r="M129" s="8">
        <f t="shared" si="34"/>
        <v>0</v>
      </c>
      <c r="N129" s="7" t="str">
        <f t="shared" si="35"/>
        <v>Flat</v>
      </c>
      <c r="O129" s="7" t="str">
        <f t="shared" si="36"/>
        <v>Low</v>
      </c>
    </row>
    <row r="130" spans="1:15" x14ac:dyDescent="0.3">
      <c r="A130" s="5" t="s">
        <v>858</v>
      </c>
      <c r="B130" s="5" t="s">
        <v>859</v>
      </c>
      <c r="C130" s="5" t="s">
        <v>860</v>
      </c>
      <c r="D130" s="5" t="s">
        <v>500</v>
      </c>
      <c r="E130" s="5" t="s">
        <v>861</v>
      </c>
      <c r="F130" s="5" t="s">
        <v>862</v>
      </c>
      <c r="G130" s="5" t="s">
        <v>863</v>
      </c>
      <c r="H130" s="6">
        <f t="shared" ref="H130:H161" si="37">IFERROR(VALUE(SUBSTITUTE(SUBSTITUTE(F130,"$",""),",","")),0)</f>
        <v>721629</v>
      </c>
      <c r="I130" s="7" t="str">
        <f t="shared" ref="I130:I161" si="38">IF(OR(UPPER(LEFT(A130,1))="A",UPPER(LEFT(A130,1))="E",UPPER(LEFT(A130,1))="I",UPPER(LEFT(A130,1))="O",UPPER(LEFT(A130,1))="U",UPPER(LEFT(A130,1))="B",UPPER(LEFT(A130,1))="C",UPPER(LEFT(A130,1))="D"),"Yes","No")</f>
        <v>No</v>
      </c>
      <c r="J130" s="7" t="str">
        <f t="shared" ref="J130:J161" si="39">IF(I130="Yes",SUMPRODUCT(($I$2:$I$201="Yes")*($H$2:$H$201&gt;H130))+1,"")</f>
        <v/>
      </c>
      <c r="K130" s="6">
        <f t="shared" ref="K130:K161" si="40">IFERROR(IF(RIGHT(E130,1)="T",VALUE(SUBSTITUTE(SUBSTITUTE(LEFT(E130,LEN(E130)-1),"$",""),",",""))*1000000000000,IF(RIGHT(E130,1)="B",VALUE(SUBSTITUTE(SUBSTITUTE(LEFT(E130,LEN(E130)-1),"$",""),",",""))*1000000000,IF(RIGHT(E130,1)="M",VALUE(SUBSTITUTE(SUBSTITUTE(LEFT(E130,LEN(E130)-1),"$",""),",",""))*1000000,VALUE(SUBSTITUTE(SUBSTITUTE(E130,"$",""),",",""))))),0)</f>
        <v>6950000</v>
      </c>
      <c r="L130" s="7" t="str">
        <f t="shared" ref="L130:L161" si="41">IF(I130="Yes",SUMPRODUCT(($I$2:$I$201="Yes")*($K$2:$K$201&gt;K130))+1,"")</f>
        <v/>
      </c>
      <c r="M130" s="8">
        <f t="shared" ref="M130:M161" si="42">IFERROR(VALUE(D130),0)</f>
        <v>1.5E-3</v>
      </c>
      <c r="N130" s="7" t="str">
        <f t="shared" ref="N130:N161" si="43">IF(M130&gt;0,"Positive",IF(M130&lt;0,"Negative","Flat"))</f>
        <v>Positive</v>
      </c>
      <c r="O130" s="7" t="str">
        <f t="shared" ref="O130:O161" si="44">IF(H130&gt;=1000000000,"High",IF(H130&gt;=10000000,"Medium","Low"))</f>
        <v>Low</v>
      </c>
    </row>
    <row r="131" spans="1:15" x14ac:dyDescent="0.3">
      <c r="A131" s="5" t="s">
        <v>864</v>
      </c>
      <c r="B131" s="5" t="s">
        <v>865</v>
      </c>
      <c r="C131" s="5" t="s">
        <v>866</v>
      </c>
      <c r="D131" s="5" t="s">
        <v>867</v>
      </c>
      <c r="E131" s="5" t="s">
        <v>868</v>
      </c>
      <c r="F131" s="5" t="s">
        <v>869</v>
      </c>
      <c r="G131" s="5" t="s">
        <v>870</v>
      </c>
      <c r="H131" s="6">
        <f t="shared" si="37"/>
        <v>2431321</v>
      </c>
      <c r="I131" s="7" t="str">
        <f t="shared" si="38"/>
        <v>Yes</v>
      </c>
      <c r="J131" s="7">
        <f t="shared" si="39"/>
        <v>25</v>
      </c>
      <c r="K131" s="6">
        <f t="shared" si="40"/>
        <v>6910000</v>
      </c>
      <c r="L131" s="7">
        <f t="shared" si="41"/>
        <v>54</v>
      </c>
      <c r="M131" s="8">
        <f t="shared" si="42"/>
        <v>1.9699999999999999E-2</v>
      </c>
      <c r="N131" s="7" t="str">
        <f t="shared" si="43"/>
        <v>Positive</v>
      </c>
      <c r="O131" s="7" t="str">
        <f t="shared" si="44"/>
        <v>Low</v>
      </c>
    </row>
    <row r="132" spans="1:15" x14ac:dyDescent="0.3">
      <c r="A132" s="5" t="s">
        <v>871</v>
      </c>
      <c r="B132" s="5" t="s">
        <v>872</v>
      </c>
      <c r="C132" s="5" t="s">
        <v>873</v>
      </c>
      <c r="D132" s="5" t="s">
        <v>560</v>
      </c>
      <c r="E132" s="5" t="s">
        <v>874</v>
      </c>
      <c r="F132" s="5" t="s">
        <v>875</v>
      </c>
      <c r="G132" s="5" t="s">
        <v>876</v>
      </c>
      <c r="H132" s="6">
        <f t="shared" si="37"/>
        <v>973654</v>
      </c>
      <c r="I132" s="7" t="str">
        <f t="shared" si="38"/>
        <v>No</v>
      </c>
      <c r="J132" s="7" t="str">
        <f t="shared" si="39"/>
        <v/>
      </c>
      <c r="K132" s="6">
        <f t="shared" si="40"/>
        <v>5250000</v>
      </c>
      <c r="L132" s="7" t="str">
        <f t="shared" si="41"/>
        <v/>
      </c>
      <c r="M132" s="8">
        <f t="shared" si="42"/>
        <v>1.26E-2</v>
      </c>
      <c r="N132" s="7" t="str">
        <f t="shared" si="43"/>
        <v>Positive</v>
      </c>
      <c r="O132" s="7" t="str">
        <f t="shared" si="44"/>
        <v>Low</v>
      </c>
    </row>
    <row r="133" spans="1:15" x14ac:dyDescent="0.3">
      <c r="A133" s="5" t="s">
        <v>877</v>
      </c>
      <c r="B133" s="5" t="s">
        <v>878</v>
      </c>
      <c r="C133" s="5" t="s">
        <v>879</v>
      </c>
      <c r="D133" s="5" t="s">
        <v>729</v>
      </c>
      <c r="E133" s="5" t="s">
        <v>880</v>
      </c>
      <c r="F133" s="5" t="s">
        <v>881</v>
      </c>
      <c r="G133" s="5" t="s">
        <v>882</v>
      </c>
      <c r="H133" s="6">
        <f t="shared" si="37"/>
        <v>955799</v>
      </c>
      <c r="I133" s="7" t="str">
        <f t="shared" si="38"/>
        <v>Yes</v>
      </c>
      <c r="J133" s="7">
        <f t="shared" si="39"/>
        <v>40</v>
      </c>
      <c r="K133" s="6">
        <f t="shared" si="40"/>
        <v>5240000</v>
      </c>
      <c r="L133" s="7">
        <f t="shared" si="41"/>
        <v>55</v>
      </c>
      <c r="M133" s="8">
        <f t="shared" si="42"/>
        <v>2.2000000000000001E-3</v>
      </c>
      <c r="N133" s="7" t="str">
        <f t="shared" si="43"/>
        <v>Positive</v>
      </c>
      <c r="O133" s="7" t="str">
        <f t="shared" si="44"/>
        <v>Low</v>
      </c>
    </row>
    <row r="134" spans="1:15" x14ac:dyDescent="0.3">
      <c r="A134" s="5" t="s">
        <v>883</v>
      </c>
      <c r="B134" s="5" t="s">
        <v>884</v>
      </c>
      <c r="C134" s="5" t="s">
        <v>885</v>
      </c>
      <c r="D134" s="5" t="s">
        <v>201</v>
      </c>
      <c r="E134" s="5" t="s">
        <v>886</v>
      </c>
      <c r="F134" s="5" t="s">
        <v>887</v>
      </c>
      <c r="G134" s="5" t="s">
        <v>888</v>
      </c>
      <c r="H134" s="6">
        <f t="shared" si="37"/>
        <v>1056108</v>
      </c>
      <c r="I134" s="7" t="str">
        <f t="shared" si="38"/>
        <v>No</v>
      </c>
      <c r="J134" s="7" t="str">
        <f t="shared" si="39"/>
        <v/>
      </c>
      <c r="K134" s="6">
        <f t="shared" si="40"/>
        <v>5180000</v>
      </c>
      <c r="L134" s="7" t="str">
        <f t="shared" si="41"/>
        <v/>
      </c>
      <c r="M134" s="8">
        <f t="shared" si="42"/>
        <v>0</v>
      </c>
      <c r="N134" s="7" t="str">
        <f t="shared" si="43"/>
        <v>Flat</v>
      </c>
      <c r="O134" s="7" t="str">
        <f t="shared" si="44"/>
        <v>Low</v>
      </c>
    </row>
    <row r="135" spans="1:15" x14ac:dyDescent="0.3">
      <c r="A135" s="5" t="s">
        <v>889</v>
      </c>
      <c r="B135" s="5" t="s">
        <v>890</v>
      </c>
      <c r="C135" s="5" t="s">
        <v>891</v>
      </c>
      <c r="D135" s="5" t="s">
        <v>729</v>
      </c>
      <c r="E135" s="5" t="s">
        <v>892</v>
      </c>
      <c r="F135" s="5" t="s">
        <v>893</v>
      </c>
      <c r="G135" s="5" t="s">
        <v>894</v>
      </c>
      <c r="H135" s="6">
        <f t="shared" si="37"/>
        <v>153889</v>
      </c>
      <c r="I135" s="7" t="str">
        <f t="shared" si="38"/>
        <v>Yes</v>
      </c>
      <c r="J135" s="7">
        <f t="shared" si="39"/>
        <v>62</v>
      </c>
      <c r="K135" s="6">
        <f t="shared" si="40"/>
        <v>5170000</v>
      </c>
      <c r="L135" s="7">
        <f t="shared" si="41"/>
        <v>56</v>
      </c>
      <c r="M135" s="8">
        <f t="shared" si="42"/>
        <v>2.2000000000000001E-3</v>
      </c>
      <c r="N135" s="7" t="str">
        <f t="shared" si="43"/>
        <v>Positive</v>
      </c>
      <c r="O135" s="7" t="str">
        <f t="shared" si="44"/>
        <v>Low</v>
      </c>
    </row>
    <row r="136" spans="1:15" x14ac:dyDescent="0.3">
      <c r="A136" s="5" t="s">
        <v>895</v>
      </c>
      <c r="B136" s="5" t="s">
        <v>896</v>
      </c>
      <c r="C136" s="5" t="s">
        <v>897</v>
      </c>
      <c r="D136" s="5" t="s">
        <v>898</v>
      </c>
      <c r="E136" s="5" t="s">
        <v>899</v>
      </c>
      <c r="F136" s="5" t="s">
        <v>900</v>
      </c>
      <c r="G136" s="5" t="s">
        <v>901</v>
      </c>
      <c r="H136" s="6">
        <f t="shared" si="37"/>
        <v>130770</v>
      </c>
      <c r="I136" s="7" t="str">
        <f t="shared" si="38"/>
        <v>Yes</v>
      </c>
      <c r="J136" s="7">
        <f t="shared" si="39"/>
        <v>63</v>
      </c>
      <c r="K136" s="6">
        <f t="shared" si="40"/>
        <v>5160000</v>
      </c>
      <c r="L136" s="7">
        <f t="shared" si="41"/>
        <v>57</v>
      </c>
      <c r="M136" s="8">
        <f t="shared" si="42"/>
        <v>3.5000000000000001E-3</v>
      </c>
      <c r="N136" s="7" t="str">
        <f t="shared" si="43"/>
        <v>Positive</v>
      </c>
      <c r="O136" s="7" t="str">
        <f t="shared" si="44"/>
        <v>Low</v>
      </c>
    </row>
    <row r="137" spans="1:15" x14ac:dyDescent="0.3">
      <c r="A137" s="5" t="s">
        <v>902</v>
      </c>
      <c r="B137" s="5" t="s">
        <v>903</v>
      </c>
      <c r="C137" s="5" t="s">
        <v>904</v>
      </c>
      <c r="D137" s="5" t="s">
        <v>905</v>
      </c>
      <c r="E137" s="5" t="s">
        <v>906</v>
      </c>
      <c r="F137" s="5" t="s">
        <v>907</v>
      </c>
      <c r="G137" s="5" t="s">
        <v>908</v>
      </c>
      <c r="H137" s="6">
        <f t="shared" si="37"/>
        <v>432080</v>
      </c>
      <c r="I137" s="7" t="str">
        <f t="shared" si="38"/>
        <v>No</v>
      </c>
      <c r="J137" s="7" t="str">
        <f t="shared" si="39"/>
        <v/>
      </c>
      <c r="K137" s="6">
        <f t="shared" si="40"/>
        <v>5150000</v>
      </c>
      <c r="L137" s="7" t="str">
        <f t="shared" si="41"/>
        <v/>
      </c>
      <c r="M137" s="8">
        <f t="shared" si="42"/>
        <v>2E-3</v>
      </c>
      <c r="N137" s="7" t="str">
        <f t="shared" si="43"/>
        <v>Positive</v>
      </c>
      <c r="O137" s="7" t="str">
        <f t="shared" si="44"/>
        <v>Low</v>
      </c>
    </row>
    <row r="138" spans="1:15" x14ac:dyDescent="0.3">
      <c r="A138" s="5" t="s">
        <v>909</v>
      </c>
      <c r="B138" s="5" t="s">
        <v>910</v>
      </c>
      <c r="C138" s="5" t="s">
        <v>911</v>
      </c>
      <c r="D138" s="5" t="s">
        <v>175</v>
      </c>
      <c r="E138" s="5" t="s">
        <v>906</v>
      </c>
      <c r="F138" s="5" t="s">
        <v>912</v>
      </c>
      <c r="G138" s="5" t="s">
        <v>913</v>
      </c>
      <c r="H138" s="6">
        <f t="shared" si="37"/>
        <v>697351</v>
      </c>
      <c r="I138" s="7" t="str">
        <f t="shared" si="38"/>
        <v>Yes</v>
      </c>
      <c r="J138" s="7">
        <f t="shared" si="39"/>
        <v>44</v>
      </c>
      <c r="K138" s="6">
        <f t="shared" si="40"/>
        <v>5150000</v>
      </c>
      <c r="L138" s="7">
        <f t="shared" si="41"/>
        <v>58</v>
      </c>
      <c r="M138" s="8">
        <f t="shared" si="42"/>
        <v>5.9999999999999995E-4</v>
      </c>
      <c r="N138" s="7" t="str">
        <f t="shared" si="43"/>
        <v>Positive</v>
      </c>
      <c r="O138" s="7" t="str">
        <f t="shared" si="44"/>
        <v>Low</v>
      </c>
    </row>
    <row r="139" spans="1:15" x14ac:dyDescent="0.3">
      <c r="A139" s="5" t="s">
        <v>914</v>
      </c>
      <c r="B139" s="5" t="s">
        <v>915</v>
      </c>
      <c r="C139" s="5" t="s">
        <v>916</v>
      </c>
      <c r="D139" s="5" t="s">
        <v>917</v>
      </c>
      <c r="E139" s="5" t="s">
        <v>918</v>
      </c>
      <c r="F139" s="5" t="s">
        <v>919</v>
      </c>
      <c r="G139" s="5" t="s">
        <v>920</v>
      </c>
      <c r="H139" s="6">
        <f t="shared" si="37"/>
        <v>17403</v>
      </c>
      <c r="I139" s="7" t="str">
        <f t="shared" si="38"/>
        <v>Yes</v>
      </c>
      <c r="J139" s="7">
        <f t="shared" si="39"/>
        <v>74</v>
      </c>
      <c r="K139" s="6">
        <f t="shared" si="40"/>
        <v>5140000</v>
      </c>
      <c r="L139" s="7">
        <f t="shared" si="41"/>
        <v>59</v>
      </c>
      <c r="M139" s="8">
        <f t="shared" si="42"/>
        <v>3.7000000000000002E-3</v>
      </c>
      <c r="N139" s="7" t="str">
        <f t="shared" si="43"/>
        <v>Positive</v>
      </c>
      <c r="O139" s="7" t="str">
        <f t="shared" si="44"/>
        <v>Low</v>
      </c>
    </row>
    <row r="140" spans="1:15" x14ac:dyDescent="0.3">
      <c r="A140" s="5" t="s">
        <v>921</v>
      </c>
      <c r="B140" s="5" t="s">
        <v>922</v>
      </c>
      <c r="C140" s="5" t="s">
        <v>923</v>
      </c>
      <c r="D140" s="5" t="s">
        <v>155</v>
      </c>
      <c r="E140" s="5" t="s">
        <v>918</v>
      </c>
      <c r="F140" s="5" t="s">
        <v>924</v>
      </c>
      <c r="G140" s="5" t="s">
        <v>925</v>
      </c>
      <c r="H140" s="6">
        <f t="shared" si="37"/>
        <v>392111</v>
      </c>
      <c r="I140" s="7" t="str">
        <f t="shared" si="38"/>
        <v>No</v>
      </c>
      <c r="J140" s="7" t="str">
        <f t="shared" si="39"/>
        <v/>
      </c>
      <c r="K140" s="6">
        <f t="shared" si="40"/>
        <v>5140000</v>
      </c>
      <c r="L140" s="7" t="str">
        <f t="shared" si="41"/>
        <v/>
      </c>
      <c r="M140" s="8">
        <f t="shared" si="42"/>
        <v>1E-4</v>
      </c>
      <c r="N140" s="7" t="str">
        <f t="shared" si="43"/>
        <v>Positive</v>
      </c>
      <c r="O140" s="7" t="str">
        <f t="shared" si="44"/>
        <v>Low</v>
      </c>
    </row>
    <row r="141" spans="1:15" x14ac:dyDescent="0.3">
      <c r="A141" s="5" t="s">
        <v>926</v>
      </c>
      <c r="B141" s="5" t="s">
        <v>927</v>
      </c>
      <c r="C141" s="5" t="s">
        <v>928</v>
      </c>
      <c r="D141" s="5" t="s">
        <v>929</v>
      </c>
      <c r="E141" s="5" t="s">
        <v>930</v>
      </c>
      <c r="F141" s="5" t="s">
        <v>931</v>
      </c>
      <c r="G141" s="5" t="s">
        <v>932</v>
      </c>
      <c r="H141" s="6">
        <f t="shared" si="37"/>
        <v>75107</v>
      </c>
      <c r="I141" s="7" t="str">
        <f t="shared" si="38"/>
        <v>Yes</v>
      </c>
      <c r="J141" s="7">
        <f t="shared" si="39"/>
        <v>68</v>
      </c>
      <c r="K141" s="6">
        <f t="shared" si="40"/>
        <v>5110000</v>
      </c>
      <c r="L141" s="7">
        <f t="shared" si="41"/>
        <v>60</v>
      </c>
      <c r="M141" s="8">
        <f t="shared" si="42"/>
        <v>6.1999999999999998E-3</v>
      </c>
      <c r="N141" s="7" t="str">
        <f t="shared" si="43"/>
        <v>Positive</v>
      </c>
      <c r="O141" s="7" t="str">
        <f t="shared" si="44"/>
        <v>Low</v>
      </c>
    </row>
    <row r="142" spans="1:15" x14ac:dyDescent="0.3">
      <c r="A142" s="5" t="s">
        <v>933</v>
      </c>
      <c r="B142" s="5" t="s">
        <v>934</v>
      </c>
      <c r="C142" s="5" t="s">
        <v>935</v>
      </c>
      <c r="D142" s="5" t="s">
        <v>500</v>
      </c>
      <c r="E142" s="5" t="s">
        <v>936</v>
      </c>
      <c r="F142" s="5" t="s">
        <v>937</v>
      </c>
      <c r="G142" s="5" t="s">
        <v>938</v>
      </c>
      <c r="H142" s="6">
        <f t="shared" si="37"/>
        <v>193524</v>
      </c>
      <c r="I142" s="7" t="str">
        <f t="shared" si="38"/>
        <v>Yes</v>
      </c>
      <c r="J142" s="7">
        <f t="shared" si="39"/>
        <v>56</v>
      </c>
      <c r="K142" s="6">
        <f t="shared" si="40"/>
        <v>4099999.9999999995</v>
      </c>
      <c r="L142" s="7">
        <f t="shared" si="41"/>
        <v>61</v>
      </c>
      <c r="M142" s="8">
        <f t="shared" si="42"/>
        <v>1.5E-3</v>
      </c>
      <c r="N142" s="7" t="str">
        <f t="shared" si="43"/>
        <v>Positive</v>
      </c>
      <c r="O142" s="7" t="str">
        <f t="shared" si="44"/>
        <v>Low</v>
      </c>
    </row>
    <row r="143" spans="1:15" x14ac:dyDescent="0.3">
      <c r="A143" s="5" t="s">
        <v>939</v>
      </c>
      <c r="B143" s="5" t="s">
        <v>940</v>
      </c>
      <c r="C143" s="5" t="s">
        <v>941</v>
      </c>
      <c r="D143" s="5" t="s">
        <v>942</v>
      </c>
      <c r="E143" s="5" t="s">
        <v>943</v>
      </c>
      <c r="F143" s="5" t="s">
        <v>944</v>
      </c>
      <c r="G143" s="5" t="s">
        <v>945</v>
      </c>
      <c r="H143" s="6">
        <f t="shared" si="37"/>
        <v>168650</v>
      </c>
      <c r="I143" s="7" t="str">
        <f t="shared" si="38"/>
        <v>No</v>
      </c>
      <c r="J143" s="7" t="str">
        <f t="shared" si="39"/>
        <v/>
      </c>
      <c r="K143" s="6">
        <f t="shared" si="40"/>
        <v>4059999.9999999995</v>
      </c>
      <c r="L143" s="7" t="str">
        <f t="shared" si="41"/>
        <v/>
      </c>
      <c r="M143" s="8">
        <f t="shared" si="42"/>
        <v>4.6399999999999997E-2</v>
      </c>
      <c r="N143" s="7" t="str">
        <f t="shared" si="43"/>
        <v>Positive</v>
      </c>
      <c r="O143" s="7" t="str">
        <f t="shared" si="44"/>
        <v>Low</v>
      </c>
    </row>
    <row r="144" spans="1:15" x14ac:dyDescent="0.3">
      <c r="A144" s="5" t="s">
        <v>946</v>
      </c>
      <c r="B144" s="5" t="s">
        <v>947</v>
      </c>
      <c r="C144" s="5" t="s">
        <v>948</v>
      </c>
      <c r="D144" s="5" t="s">
        <v>407</v>
      </c>
      <c r="E144" s="5" t="s">
        <v>949</v>
      </c>
      <c r="F144" s="5" t="s">
        <v>950</v>
      </c>
      <c r="G144" s="5" t="s">
        <v>951</v>
      </c>
      <c r="H144" s="6">
        <f t="shared" si="37"/>
        <v>4760489</v>
      </c>
      <c r="I144" s="7" t="str">
        <f t="shared" si="38"/>
        <v>No</v>
      </c>
      <c r="J144" s="7" t="str">
        <f t="shared" si="39"/>
        <v/>
      </c>
      <c r="K144" s="6">
        <f t="shared" si="40"/>
        <v>4040000</v>
      </c>
      <c r="L144" s="7" t="str">
        <f t="shared" si="41"/>
        <v/>
      </c>
      <c r="M144" s="8">
        <f t="shared" si="42"/>
        <v>5.7000000000000002E-3</v>
      </c>
      <c r="N144" s="7" t="str">
        <f t="shared" si="43"/>
        <v>Positive</v>
      </c>
      <c r="O144" s="7" t="str">
        <f t="shared" si="44"/>
        <v>Low</v>
      </c>
    </row>
    <row r="145" spans="1:15" x14ac:dyDescent="0.3">
      <c r="A145" s="5" t="s">
        <v>952</v>
      </c>
      <c r="B145" s="5" t="s">
        <v>953</v>
      </c>
      <c r="C145" s="5" t="s">
        <v>954</v>
      </c>
      <c r="D145" s="5" t="s">
        <v>64</v>
      </c>
      <c r="E145" s="5" t="s">
        <v>955</v>
      </c>
      <c r="F145" s="5" t="s">
        <v>956</v>
      </c>
      <c r="G145" s="5" t="s">
        <v>957</v>
      </c>
      <c r="H145" s="6">
        <f t="shared" si="37"/>
        <v>4951893</v>
      </c>
      <c r="I145" s="7" t="str">
        <f t="shared" si="38"/>
        <v>No</v>
      </c>
      <c r="J145" s="7" t="str">
        <f t="shared" si="39"/>
        <v/>
      </c>
      <c r="K145" s="6">
        <f t="shared" si="40"/>
        <v>4019999.9999999995</v>
      </c>
      <c r="L145" s="7" t="str">
        <f t="shared" si="41"/>
        <v/>
      </c>
      <c r="M145" s="8">
        <f t="shared" si="42"/>
        <v>2.9999999999999997E-4</v>
      </c>
      <c r="N145" s="7" t="str">
        <f t="shared" si="43"/>
        <v>Positive</v>
      </c>
      <c r="O145" s="7" t="str">
        <f t="shared" si="44"/>
        <v>Low</v>
      </c>
    </row>
    <row r="146" spans="1:15" x14ac:dyDescent="0.3">
      <c r="A146" s="5" t="s">
        <v>958</v>
      </c>
      <c r="B146" s="5" t="s">
        <v>958</v>
      </c>
      <c r="C146" s="5" t="s">
        <v>959</v>
      </c>
      <c r="D146" s="5" t="s">
        <v>606</v>
      </c>
      <c r="E146" s="5" t="s">
        <v>960</v>
      </c>
      <c r="F146" s="5" t="s">
        <v>961</v>
      </c>
      <c r="G146" s="5" t="s">
        <v>962</v>
      </c>
      <c r="H146" s="6">
        <f t="shared" si="37"/>
        <v>727913</v>
      </c>
      <c r="I146" s="7" t="str">
        <f t="shared" si="38"/>
        <v>No</v>
      </c>
      <c r="J146" s="7" t="str">
        <f t="shared" si="39"/>
        <v/>
      </c>
      <c r="K146" s="6">
        <f t="shared" si="40"/>
        <v>3980000</v>
      </c>
      <c r="L146" s="7" t="str">
        <f t="shared" si="41"/>
        <v/>
      </c>
      <c r="M146" s="8">
        <f t="shared" si="42"/>
        <v>1.04E-2</v>
      </c>
      <c r="N146" s="7" t="str">
        <f t="shared" si="43"/>
        <v>Positive</v>
      </c>
      <c r="O146" s="7" t="str">
        <f t="shared" si="44"/>
        <v>Low</v>
      </c>
    </row>
    <row r="147" spans="1:15" x14ac:dyDescent="0.3">
      <c r="A147" s="5" t="s">
        <v>963</v>
      </c>
      <c r="B147" s="5" t="s">
        <v>964</v>
      </c>
      <c r="C147" s="5" t="s">
        <v>965</v>
      </c>
      <c r="D147" s="5" t="s">
        <v>768</v>
      </c>
      <c r="E147" s="5" t="s">
        <v>966</v>
      </c>
      <c r="F147" s="5" t="s">
        <v>967</v>
      </c>
      <c r="G147" s="5" t="s">
        <v>968</v>
      </c>
      <c r="H147" s="6">
        <f t="shared" si="37"/>
        <v>49144</v>
      </c>
      <c r="I147" s="7" t="str">
        <f t="shared" si="38"/>
        <v>No</v>
      </c>
      <c r="J147" s="7" t="str">
        <f t="shared" si="39"/>
        <v/>
      </c>
      <c r="K147" s="6">
        <f t="shared" si="40"/>
        <v>4000000</v>
      </c>
      <c r="L147" s="7" t="str">
        <f t="shared" si="41"/>
        <v/>
      </c>
      <c r="M147" s="8">
        <f t="shared" si="42"/>
        <v>1.1999999999999999E-3</v>
      </c>
      <c r="N147" s="7" t="str">
        <f t="shared" si="43"/>
        <v>Positive</v>
      </c>
      <c r="O147" s="7" t="str">
        <f t="shared" si="44"/>
        <v>Low</v>
      </c>
    </row>
    <row r="148" spans="1:15" x14ac:dyDescent="0.3">
      <c r="A148" s="5" t="s">
        <v>969</v>
      </c>
      <c r="B148" s="5" t="s">
        <v>970</v>
      </c>
      <c r="C148" s="5" t="s">
        <v>971</v>
      </c>
      <c r="D148" s="5" t="s">
        <v>972</v>
      </c>
      <c r="E148" s="5" t="s">
        <v>973</v>
      </c>
      <c r="F148" s="5" t="s">
        <v>974</v>
      </c>
      <c r="G148" s="5" t="s">
        <v>975</v>
      </c>
      <c r="H148" s="6">
        <f t="shared" si="37"/>
        <v>14376</v>
      </c>
      <c r="I148" s="7" t="str">
        <f t="shared" si="38"/>
        <v>Yes</v>
      </c>
      <c r="J148" s="7">
        <f t="shared" si="39"/>
        <v>75</v>
      </c>
      <c r="K148" s="6">
        <f t="shared" si="40"/>
        <v>3990000</v>
      </c>
      <c r="L148" s="7">
        <f t="shared" si="41"/>
        <v>62</v>
      </c>
      <c r="M148" s="8">
        <f t="shared" si="42"/>
        <v>8.9999999999999993E-3</v>
      </c>
      <c r="N148" s="7" t="str">
        <f t="shared" si="43"/>
        <v>Positive</v>
      </c>
      <c r="O148" s="7" t="str">
        <f t="shared" si="44"/>
        <v>Low</v>
      </c>
    </row>
    <row r="149" spans="1:15" x14ac:dyDescent="0.3">
      <c r="A149" s="5" t="s">
        <v>976</v>
      </c>
      <c r="B149" s="5" t="s">
        <v>977</v>
      </c>
      <c r="C149" s="5" t="s">
        <v>978</v>
      </c>
      <c r="D149" s="5" t="s">
        <v>51</v>
      </c>
      <c r="E149" s="5" t="s">
        <v>960</v>
      </c>
      <c r="F149" s="5" t="s">
        <v>979</v>
      </c>
      <c r="G149" s="5" t="s">
        <v>980</v>
      </c>
      <c r="H149" s="6">
        <f t="shared" si="37"/>
        <v>658</v>
      </c>
      <c r="I149" s="7" t="str">
        <f t="shared" si="38"/>
        <v>Yes</v>
      </c>
      <c r="J149" s="7">
        <f t="shared" si="39"/>
        <v>81</v>
      </c>
      <c r="K149" s="6">
        <f t="shared" si="40"/>
        <v>3980000</v>
      </c>
      <c r="L149" s="7">
        <f t="shared" si="41"/>
        <v>63</v>
      </c>
      <c r="M149" s="8">
        <f t="shared" si="42"/>
        <v>1E-3</v>
      </c>
      <c r="N149" s="7" t="str">
        <f t="shared" si="43"/>
        <v>Positive</v>
      </c>
      <c r="O149" s="7" t="str">
        <f t="shared" si="44"/>
        <v>Low</v>
      </c>
    </row>
    <row r="150" spans="1:15" x14ac:dyDescent="0.3">
      <c r="A150" s="5" t="s">
        <v>981</v>
      </c>
      <c r="B150" s="5" t="s">
        <v>982</v>
      </c>
      <c r="C150" s="5" t="s">
        <v>983</v>
      </c>
      <c r="D150" s="5" t="s">
        <v>984</v>
      </c>
      <c r="E150" s="5" t="s">
        <v>985</v>
      </c>
      <c r="F150" s="5" t="s">
        <v>986</v>
      </c>
      <c r="G150" s="5" t="s">
        <v>987</v>
      </c>
      <c r="H150" s="6">
        <f t="shared" si="37"/>
        <v>5822</v>
      </c>
      <c r="I150" s="7" t="str">
        <f t="shared" si="38"/>
        <v>No</v>
      </c>
      <c r="J150" s="7" t="str">
        <f t="shared" si="39"/>
        <v/>
      </c>
      <c r="K150" s="6">
        <f t="shared" si="40"/>
        <v>3970000</v>
      </c>
      <c r="L150" s="7" t="str">
        <f t="shared" si="41"/>
        <v/>
      </c>
      <c r="M150" s="8">
        <f t="shared" si="42"/>
        <v>1.72E-2</v>
      </c>
      <c r="N150" s="7" t="str">
        <f t="shared" si="43"/>
        <v>Positive</v>
      </c>
      <c r="O150" s="7" t="str">
        <f t="shared" si="44"/>
        <v>Low</v>
      </c>
    </row>
    <row r="151" spans="1:15" x14ac:dyDescent="0.3">
      <c r="A151" s="5" t="s">
        <v>988</v>
      </c>
      <c r="B151" s="5" t="s">
        <v>988</v>
      </c>
      <c r="C151" s="5" t="s">
        <v>989</v>
      </c>
      <c r="D151" s="5" t="s">
        <v>990</v>
      </c>
      <c r="E151" s="5" t="s">
        <v>991</v>
      </c>
      <c r="F151" s="5" t="s">
        <v>992</v>
      </c>
      <c r="G151" s="5" t="s">
        <v>993</v>
      </c>
      <c r="H151" s="6">
        <f t="shared" si="37"/>
        <v>85411</v>
      </c>
      <c r="I151" s="7" t="str">
        <f t="shared" si="38"/>
        <v>No</v>
      </c>
      <c r="J151" s="7" t="str">
        <f t="shared" si="39"/>
        <v/>
      </c>
      <c r="K151" s="6">
        <f t="shared" si="40"/>
        <v>3940000</v>
      </c>
      <c r="L151" s="7" t="str">
        <f t="shared" si="41"/>
        <v/>
      </c>
      <c r="M151" s="8">
        <f t="shared" si="42"/>
        <v>6.7999999999999996E-3</v>
      </c>
      <c r="N151" s="7" t="str">
        <f t="shared" si="43"/>
        <v>Positive</v>
      </c>
      <c r="O151" s="7" t="str">
        <f t="shared" si="44"/>
        <v>Low</v>
      </c>
    </row>
    <row r="152" spans="1:15" x14ac:dyDescent="0.3">
      <c r="A152" s="5" t="s">
        <v>994</v>
      </c>
      <c r="B152" s="5" t="s">
        <v>995</v>
      </c>
      <c r="C152" s="5" t="s">
        <v>996</v>
      </c>
      <c r="D152" s="5" t="s">
        <v>358</v>
      </c>
      <c r="E152" s="5" t="s">
        <v>997</v>
      </c>
      <c r="F152" s="5" t="s">
        <v>998</v>
      </c>
      <c r="G152" s="5" t="s">
        <v>999</v>
      </c>
      <c r="H152" s="6">
        <f t="shared" si="37"/>
        <v>2100</v>
      </c>
      <c r="I152" s="7" t="str">
        <f t="shared" si="38"/>
        <v>Yes</v>
      </c>
      <c r="J152" s="7">
        <f t="shared" si="39"/>
        <v>78</v>
      </c>
      <c r="K152" s="6">
        <f t="shared" si="40"/>
        <v>3230000</v>
      </c>
      <c r="L152" s="7">
        <f t="shared" si="41"/>
        <v>64</v>
      </c>
      <c r="M152" s="8">
        <f t="shared" si="42"/>
        <v>2.0000000000000001E-4</v>
      </c>
      <c r="N152" s="7" t="str">
        <f t="shared" si="43"/>
        <v>Positive</v>
      </c>
      <c r="O152" s="7" t="str">
        <f t="shared" si="44"/>
        <v>Low</v>
      </c>
    </row>
    <row r="153" spans="1:15" x14ac:dyDescent="0.3">
      <c r="A153" s="5" t="s">
        <v>1000</v>
      </c>
      <c r="B153" s="5" t="s">
        <v>1001</v>
      </c>
      <c r="C153" s="5" t="s">
        <v>1002</v>
      </c>
      <c r="D153" s="5" t="s">
        <v>917</v>
      </c>
      <c r="E153" s="5" t="s">
        <v>997</v>
      </c>
      <c r="F153" s="5" t="s">
        <v>1003</v>
      </c>
      <c r="G153" s="5" t="s">
        <v>1004</v>
      </c>
      <c r="H153" s="6">
        <f t="shared" si="37"/>
        <v>157680</v>
      </c>
      <c r="I153" s="7" t="str">
        <f t="shared" si="38"/>
        <v>Yes</v>
      </c>
      <c r="J153" s="7">
        <f t="shared" si="39"/>
        <v>60</v>
      </c>
      <c r="K153" s="6">
        <f t="shared" si="40"/>
        <v>3230000</v>
      </c>
      <c r="L153" s="7">
        <f t="shared" si="41"/>
        <v>64</v>
      </c>
      <c r="M153" s="8">
        <f t="shared" si="42"/>
        <v>3.7000000000000002E-3</v>
      </c>
      <c r="N153" s="7" t="str">
        <f t="shared" si="43"/>
        <v>Positive</v>
      </c>
      <c r="O153" s="7" t="str">
        <f t="shared" si="44"/>
        <v>Low</v>
      </c>
    </row>
    <row r="154" spans="1:15" x14ac:dyDescent="0.3">
      <c r="A154" s="5" t="s">
        <v>1005</v>
      </c>
      <c r="B154" s="5" t="s">
        <v>1006</v>
      </c>
      <c r="C154" s="5" t="s">
        <v>1007</v>
      </c>
      <c r="D154" s="5" t="s">
        <v>358</v>
      </c>
      <c r="E154" s="5" t="s">
        <v>997</v>
      </c>
      <c r="F154" s="5" t="s">
        <v>1008</v>
      </c>
      <c r="G154" s="5" t="s">
        <v>1009</v>
      </c>
      <c r="H154" s="6">
        <f t="shared" si="37"/>
        <v>72433</v>
      </c>
      <c r="I154" s="7" t="str">
        <f t="shared" si="38"/>
        <v>Yes</v>
      </c>
      <c r="J154" s="7">
        <f t="shared" si="39"/>
        <v>69</v>
      </c>
      <c r="K154" s="6">
        <f t="shared" si="40"/>
        <v>3230000</v>
      </c>
      <c r="L154" s="7">
        <f t="shared" si="41"/>
        <v>64</v>
      </c>
      <c r="M154" s="8">
        <f t="shared" si="42"/>
        <v>2.0000000000000001E-4</v>
      </c>
      <c r="N154" s="7" t="str">
        <f t="shared" si="43"/>
        <v>Positive</v>
      </c>
      <c r="O154" s="7" t="str">
        <f t="shared" si="44"/>
        <v>Low</v>
      </c>
    </row>
    <row r="155" spans="1:15" x14ac:dyDescent="0.3">
      <c r="A155" s="5" t="s">
        <v>1010</v>
      </c>
      <c r="B155" s="5" t="s">
        <v>1011</v>
      </c>
      <c r="C155" s="5" t="s">
        <v>1012</v>
      </c>
      <c r="D155" s="5" t="s">
        <v>1013</v>
      </c>
      <c r="E155" s="5" t="s">
        <v>1014</v>
      </c>
      <c r="F155" s="5" t="s">
        <v>1015</v>
      </c>
      <c r="G155" s="5" t="s">
        <v>1016</v>
      </c>
      <c r="H155" s="6">
        <f t="shared" si="37"/>
        <v>117948</v>
      </c>
      <c r="I155" s="7" t="str">
        <f t="shared" si="38"/>
        <v>Yes</v>
      </c>
      <c r="J155" s="7">
        <f t="shared" si="39"/>
        <v>65</v>
      </c>
      <c r="K155" s="6">
        <f t="shared" si="40"/>
        <v>3220000</v>
      </c>
      <c r="L155" s="7">
        <f t="shared" si="41"/>
        <v>69</v>
      </c>
      <c r="M155" s="8">
        <f t="shared" si="42"/>
        <v>1.18E-2</v>
      </c>
      <c r="N155" s="7" t="str">
        <f t="shared" si="43"/>
        <v>Positive</v>
      </c>
      <c r="O155" s="7" t="str">
        <f t="shared" si="44"/>
        <v>Low</v>
      </c>
    </row>
    <row r="156" spans="1:15" x14ac:dyDescent="0.3">
      <c r="A156" s="5" t="s">
        <v>1017</v>
      </c>
      <c r="B156" s="5" t="s">
        <v>1018</v>
      </c>
      <c r="C156" s="5" t="s">
        <v>1019</v>
      </c>
      <c r="D156" s="5" t="s">
        <v>1020</v>
      </c>
      <c r="E156" s="5" t="s">
        <v>997</v>
      </c>
      <c r="F156" s="5" t="s">
        <v>1021</v>
      </c>
      <c r="G156" s="5" t="s">
        <v>1022</v>
      </c>
      <c r="H156" s="6">
        <f t="shared" si="37"/>
        <v>1614</v>
      </c>
      <c r="I156" s="7" t="str">
        <f t="shared" si="38"/>
        <v>Yes</v>
      </c>
      <c r="J156" s="7">
        <f t="shared" si="39"/>
        <v>80</v>
      </c>
      <c r="K156" s="6">
        <f t="shared" si="40"/>
        <v>3230000</v>
      </c>
      <c r="L156" s="7">
        <f t="shared" si="41"/>
        <v>64</v>
      </c>
      <c r="M156" s="8">
        <f t="shared" si="42"/>
        <v>3.3399999999999999E-2</v>
      </c>
      <c r="N156" s="7" t="str">
        <f t="shared" si="43"/>
        <v>Positive</v>
      </c>
      <c r="O156" s="7" t="str">
        <f t="shared" si="44"/>
        <v>Low</v>
      </c>
    </row>
    <row r="157" spans="1:15" x14ac:dyDescent="0.3">
      <c r="A157" s="5" t="s">
        <v>1023</v>
      </c>
      <c r="B157" s="5" t="s">
        <v>1024</v>
      </c>
      <c r="C157" s="5" t="s">
        <v>1025</v>
      </c>
      <c r="D157" s="5" t="s">
        <v>358</v>
      </c>
      <c r="E157" s="5" t="s">
        <v>997</v>
      </c>
      <c r="F157" s="5" t="s">
        <v>1026</v>
      </c>
      <c r="G157" s="5" t="s">
        <v>1027</v>
      </c>
      <c r="H157" s="6">
        <f t="shared" si="37"/>
        <v>1659</v>
      </c>
      <c r="I157" s="7" t="str">
        <f t="shared" si="38"/>
        <v>Yes</v>
      </c>
      <c r="J157" s="7">
        <f t="shared" si="39"/>
        <v>79</v>
      </c>
      <c r="K157" s="6">
        <f t="shared" si="40"/>
        <v>3230000</v>
      </c>
      <c r="L157" s="7">
        <f t="shared" si="41"/>
        <v>64</v>
      </c>
      <c r="M157" s="8">
        <f t="shared" si="42"/>
        <v>2.0000000000000001E-4</v>
      </c>
      <c r="N157" s="7" t="str">
        <f t="shared" si="43"/>
        <v>Positive</v>
      </c>
      <c r="O157" s="7" t="str">
        <f t="shared" si="44"/>
        <v>Low</v>
      </c>
    </row>
    <row r="158" spans="1:15" x14ac:dyDescent="0.3">
      <c r="A158" s="5" t="s">
        <v>1028</v>
      </c>
      <c r="B158" s="5" t="s">
        <v>1029</v>
      </c>
      <c r="C158" s="5" t="s">
        <v>1030</v>
      </c>
      <c r="D158" s="5" t="s">
        <v>1031</v>
      </c>
      <c r="E158" s="5" t="s">
        <v>1032</v>
      </c>
      <c r="F158" s="5" t="s">
        <v>1033</v>
      </c>
      <c r="G158" s="5" t="s">
        <v>1034</v>
      </c>
      <c r="H158" s="6">
        <f t="shared" si="37"/>
        <v>220065</v>
      </c>
      <c r="I158" s="7" t="str">
        <f t="shared" si="38"/>
        <v>No</v>
      </c>
      <c r="J158" s="7" t="str">
        <f t="shared" si="39"/>
        <v/>
      </c>
      <c r="K158" s="6">
        <f t="shared" si="40"/>
        <v>3210000</v>
      </c>
      <c r="L158" s="7" t="str">
        <f t="shared" si="41"/>
        <v/>
      </c>
      <c r="M158" s="8">
        <f t="shared" si="42"/>
        <v>8.9999999999999998E-4</v>
      </c>
      <c r="N158" s="7" t="str">
        <f t="shared" si="43"/>
        <v>Positive</v>
      </c>
      <c r="O158" s="7" t="str">
        <f t="shared" si="44"/>
        <v>Low</v>
      </c>
    </row>
    <row r="159" spans="1:15" x14ac:dyDescent="0.3">
      <c r="A159" s="5" t="s">
        <v>1035</v>
      </c>
      <c r="B159" s="5" t="s">
        <v>1036</v>
      </c>
      <c r="C159" s="5" t="s">
        <v>1037</v>
      </c>
      <c r="D159" s="5" t="s">
        <v>344</v>
      </c>
      <c r="E159" s="5" t="s">
        <v>1032</v>
      </c>
      <c r="F159" s="5" t="s">
        <v>1038</v>
      </c>
      <c r="G159" s="5" t="s">
        <v>1039</v>
      </c>
      <c r="H159" s="6">
        <f t="shared" si="37"/>
        <v>155287</v>
      </c>
      <c r="I159" s="7" t="str">
        <f t="shared" si="38"/>
        <v>Yes</v>
      </c>
      <c r="J159" s="7">
        <f t="shared" si="39"/>
        <v>61</v>
      </c>
      <c r="K159" s="6">
        <f t="shared" si="40"/>
        <v>3210000</v>
      </c>
      <c r="L159" s="7">
        <f t="shared" si="41"/>
        <v>70</v>
      </c>
      <c r="M159" s="8">
        <f t="shared" si="42"/>
        <v>1.61E-2</v>
      </c>
      <c r="N159" s="7" t="str">
        <f t="shared" si="43"/>
        <v>Positive</v>
      </c>
      <c r="O159" s="7" t="str">
        <f t="shared" si="44"/>
        <v>Low</v>
      </c>
    </row>
    <row r="160" spans="1:15" x14ac:dyDescent="0.3">
      <c r="A160" s="5" t="s">
        <v>1040</v>
      </c>
      <c r="B160" s="5" t="s">
        <v>1041</v>
      </c>
      <c r="C160" s="5" t="s">
        <v>1042</v>
      </c>
      <c r="D160" s="5" t="s">
        <v>656</v>
      </c>
      <c r="E160" s="5" t="s">
        <v>1043</v>
      </c>
      <c r="F160" s="5" t="s">
        <v>1044</v>
      </c>
      <c r="G160" s="5" t="s">
        <v>1045</v>
      </c>
      <c r="H160" s="6">
        <f t="shared" si="37"/>
        <v>239395</v>
      </c>
      <c r="I160" s="7" t="str">
        <f t="shared" si="38"/>
        <v>Yes</v>
      </c>
      <c r="J160" s="7">
        <f t="shared" si="39"/>
        <v>54</v>
      </c>
      <c r="K160" s="6">
        <f t="shared" si="40"/>
        <v>3200000</v>
      </c>
      <c r="L160" s="7">
        <f t="shared" si="41"/>
        <v>71</v>
      </c>
      <c r="M160" s="8">
        <f t="shared" si="42"/>
        <v>1.1000000000000001E-3</v>
      </c>
      <c r="N160" s="7" t="str">
        <f t="shared" si="43"/>
        <v>Positive</v>
      </c>
      <c r="O160" s="7" t="str">
        <f t="shared" si="44"/>
        <v>Low</v>
      </c>
    </row>
    <row r="161" spans="1:15" x14ac:dyDescent="0.3">
      <c r="A161" s="5" t="s">
        <v>1046</v>
      </c>
      <c r="B161" s="5" t="s">
        <v>1047</v>
      </c>
      <c r="C161" s="5" t="s">
        <v>1048</v>
      </c>
      <c r="D161" s="5" t="s">
        <v>768</v>
      </c>
      <c r="E161" s="5" t="s">
        <v>1049</v>
      </c>
      <c r="F161" s="5" t="s">
        <v>1050</v>
      </c>
      <c r="G161" s="5" t="s">
        <v>1051</v>
      </c>
      <c r="H161" s="6">
        <f t="shared" si="37"/>
        <v>977333</v>
      </c>
      <c r="I161" s="7" t="str">
        <f t="shared" si="38"/>
        <v>No</v>
      </c>
      <c r="J161" s="7" t="str">
        <f t="shared" si="39"/>
        <v/>
      </c>
      <c r="K161" s="6">
        <f t="shared" si="40"/>
        <v>3180000</v>
      </c>
      <c r="L161" s="7" t="str">
        <f t="shared" si="41"/>
        <v/>
      </c>
      <c r="M161" s="8">
        <f t="shared" si="42"/>
        <v>1.1999999999999999E-3</v>
      </c>
      <c r="N161" s="7" t="str">
        <f t="shared" si="43"/>
        <v>Positive</v>
      </c>
      <c r="O161" s="7" t="str">
        <f t="shared" si="44"/>
        <v>Low</v>
      </c>
    </row>
    <row r="162" spans="1:15" x14ac:dyDescent="0.3">
      <c r="A162" s="5" t="s">
        <v>1052</v>
      </c>
      <c r="B162" s="5" t="s">
        <v>1053</v>
      </c>
      <c r="C162" s="5" t="s">
        <v>1054</v>
      </c>
      <c r="D162" s="5" t="s">
        <v>1055</v>
      </c>
      <c r="E162" s="5" t="s">
        <v>1056</v>
      </c>
      <c r="F162" s="5" t="s">
        <v>1057</v>
      </c>
      <c r="G162" s="5" t="s">
        <v>1058</v>
      </c>
      <c r="H162" s="6">
        <f t="shared" ref="H162:H193" si="45">IFERROR(VALUE(SUBSTITUTE(SUBSTITUTE(F162,"$",""),",","")),0)</f>
        <v>721481</v>
      </c>
      <c r="I162" s="7" t="str">
        <f t="shared" ref="I162:I193" si="46">IF(OR(UPPER(LEFT(A162,1))="A",UPPER(LEFT(A162,1))="E",UPPER(LEFT(A162,1))="I",UPPER(LEFT(A162,1))="O",UPPER(LEFT(A162,1))="U",UPPER(LEFT(A162,1))="B",UPPER(LEFT(A162,1))="C",UPPER(LEFT(A162,1))="D"),"Yes","No")</f>
        <v>No</v>
      </c>
      <c r="J162" s="7" t="str">
        <f t="shared" ref="J162:J193" si="47">IF(I162="Yes",SUMPRODUCT(($I$2:$I$201="Yes")*($H$2:$H$201&gt;H162))+1,"")</f>
        <v/>
      </c>
      <c r="K162" s="6">
        <f t="shared" ref="K162:K193" si="48">IFERROR(IF(RIGHT(E162,1)="T",VALUE(SUBSTITUTE(SUBSTITUTE(LEFT(E162,LEN(E162)-1),"$",""),",",""))*1000000000000,IF(RIGHT(E162,1)="B",VALUE(SUBSTITUTE(SUBSTITUTE(LEFT(E162,LEN(E162)-1),"$",""),",",""))*1000000000,IF(RIGHT(E162,1)="M",VALUE(SUBSTITUTE(SUBSTITUTE(LEFT(E162,LEN(E162)-1),"$",""),",",""))*1000000,VALUE(SUBSTITUTE(SUBSTITUTE(E162,"$",""),",",""))))),0)</f>
        <v>2580000</v>
      </c>
      <c r="L162" s="7" t="str">
        <f t="shared" ref="L162:L193" si="49">IF(I162="Yes",SUMPRODUCT(($I$2:$I$201="Yes")*($K$2:$K$201&gt;K162))+1,"")</f>
        <v/>
      </c>
      <c r="M162" s="8">
        <f t="shared" ref="M162:M193" si="50">IFERROR(VALUE(D162),0)</f>
        <v>2.6700000000000002E-2</v>
      </c>
      <c r="N162" s="7" t="str">
        <f t="shared" ref="N162:N193" si="51">IF(M162&gt;0,"Positive",IF(M162&lt;0,"Negative","Flat"))</f>
        <v>Positive</v>
      </c>
      <c r="O162" s="7" t="str">
        <f t="shared" ref="O162:O193" si="52">IF(H162&gt;=1000000000,"High",IF(H162&gt;=10000000,"Medium","Low"))</f>
        <v>Low</v>
      </c>
    </row>
    <row r="163" spans="1:15" x14ac:dyDescent="0.3">
      <c r="A163" s="5" t="s">
        <v>1059</v>
      </c>
      <c r="B163" s="5" t="s">
        <v>1060</v>
      </c>
      <c r="C163" s="5" t="s">
        <v>1061</v>
      </c>
      <c r="D163" s="5" t="s">
        <v>1062</v>
      </c>
      <c r="E163" s="5" t="s">
        <v>1056</v>
      </c>
      <c r="F163" s="5" t="s">
        <v>1063</v>
      </c>
      <c r="G163" s="5" t="s">
        <v>1064</v>
      </c>
      <c r="H163" s="6">
        <f t="shared" si="45"/>
        <v>1422530</v>
      </c>
      <c r="I163" s="7" t="str">
        <f t="shared" si="46"/>
        <v>No</v>
      </c>
      <c r="J163" s="7" t="str">
        <f t="shared" si="47"/>
        <v/>
      </c>
      <c r="K163" s="6">
        <f t="shared" si="48"/>
        <v>2580000</v>
      </c>
      <c r="L163" s="7" t="str">
        <f t="shared" si="49"/>
        <v/>
      </c>
      <c r="M163" s="8">
        <f t="shared" si="50"/>
        <v>9.7000000000000003E-3</v>
      </c>
      <c r="N163" s="7" t="str">
        <f t="shared" si="51"/>
        <v>Positive</v>
      </c>
      <c r="O163" s="7" t="str">
        <f t="shared" si="52"/>
        <v>Low</v>
      </c>
    </row>
    <row r="164" spans="1:15" x14ac:dyDescent="0.3">
      <c r="A164" s="5" t="s">
        <v>1065</v>
      </c>
      <c r="B164" s="5" t="s">
        <v>1066</v>
      </c>
      <c r="C164" s="5" t="s">
        <v>1067</v>
      </c>
      <c r="D164" s="5" t="s">
        <v>201</v>
      </c>
      <c r="E164" s="5" t="s">
        <v>1068</v>
      </c>
      <c r="F164" s="5" t="s">
        <v>763</v>
      </c>
      <c r="G164" s="5" t="s">
        <v>1069</v>
      </c>
      <c r="H164" s="6">
        <f t="shared" si="45"/>
        <v>0</v>
      </c>
      <c r="I164" s="7" t="str">
        <f t="shared" si="46"/>
        <v>No</v>
      </c>
      <c r="J164" s="7" t="str">
        <f t="shared" si="47"/>
        <v/>
      </c>
      <c r="K164" s="6">
        <f t="shared" si="48"/>
        <v>2570000</v>
      </c>
      <c r="L164" s="7" t="str">
        <f t="shared" si="49"/>
        <v/>
      </c>
      <c r="M164" s="8">
        <f t="shared" si="50"/>
        <v>0</v>
      </c>
      <c r="N164" s="7" t="str">
        <f t="shared" si="51"/>
        <v>Flat</v>
      </c>
      <c r="O164" s="7" t="str">
        <f t="shared" si="52"/>
        <v>Low</v>
      </c>
    </row>
    <row r="165" spans="1:15" x14ac:dyDescent="0.3">
      <c r="A165" s="5" t="s">
        <v>1070</v>
      </c>
      <c r="B165" s="5" t="s">
        <v>1070</v>
      </c>
      <c r="C165" s="5" t="s">
        <v>1071</v>
      </c>
      <c r="D165" s="5" t="s">
        <v>51</v>
      </c>
      <c r="E165" s="5" t="s">
        <v>1068</v>
      </c>
      <c r="F165" s="5" t="s">
        <v>1072</v>
      </c>
      <c r="G165" s="5" t="s">
        <v>144</v>
      </c>
      <c r="H165" s="6">
        <f t="shared" si="45"/>
        <v>107281</v>
      </c>
      <c r="I165" s="7" t="str">
        <f t="shared" si="46"/>
        <v>No</v>
      </c>
      <c r="J165" s="7" t="str">
        <f t="shared" si="47"/>
        <v/>
      </c>
      <c r="K165" s="6">
        <f t="shared" si="48"/>
        <v>2570000</v>
      </c>
      <c r="L165" s="7" t="str">
        <f t="shared" si="49"/>
        <v/>
      </c>
      <c r="M165" s="8">
        <f t="shared" si="50"/>
        <v>1E-3</v>
      </c>
      <c r="N165" s="7" t="str">
        <f t="shared" si="51"/>
        <v>Positive</v>
      </c>
      <c r="O165" s="7" t="str">
        <f t="shared" si="52"/>
        <v>Low</v>
      </c>
    </row>
    <row r="166" spans="1:15" x14ac:dyDescent="0.3">
      <c r="A166" s="5" t="s">
        <v>1073</v>
      </c>
      <c r="B166" s="5" t="s">
        <v>1074</v>
      </c>
      <c r="C166" s="5" t="s">
        <v>1075</v>
      </c>
      <c r="D166" s="5" t="s">
        <v>1076</v>
      </c>
      <c r="E166" s="5" t="s">
        <v>1077</v>
      </c>
      <c r="F166" s="5" t="s">
        <v>1078</v>
      </c>
      <c r="G166" s="5" t="s">
        <v>1079</v>
      </c>
      <c r="H166" s="6">
        <f t="shared" si="45"/>
        <v>465</v>
      </c>
      <c r="I166" s="7" t="str">
        <f t="shared" si="46"/>
        <v>No</v>
      </c>
      <c r="J166" s="7" t="str">
        <f t="shared" si="47"/>
        <v/>
      </c>
      <c r="K166" s="6">
        <f t="shared" si="48"/>
        <v>2510000</v>
      </c>
      <c r="L166" s="7" t="str">
        <f t="shared" si="49"/>
        <v/>
      </c>
      <c r="M166" s="8">
        <f t="shared" si="50"/>
        <v>2.4799999999999999E-2</v>
      </c>
      <c r="N166" s="7" t="str">
        <f t="shared" si="51"/>
        <v>Positive</v>
      </c>
      <c r="O166" s="7" t="str">
        <f t="shared" si="52"/>
        <v>Low</v>
      </c>
    </row>
    <row r="167" spans="1:15" x14ac:dyDescent="0.3">
      <c r="A167" s="5" t="s">
        <v>1080</v>
      </c>
      <c r="B167" s="5" t="s">
        <v>1081</v>
      </c>
      <c r="C167" s="5" t="s">
        <v>1082</v>
      </c>
      <c r="D167" s="5" t="s">
        <v>656</v>
      </c>
      <c r="E167" s="5" t="s">
        <v>1083</v>
      </c>
      <c r="F167" s="5" t="s">
        <v>1084</v>
      </c>
      <c r="G167" s="5" t="s">
        <v>1085</v>
      </c>
      <c r="H167" s="6">
        <f t="shared" si="45"/>
        <v>174927</v>
      </c>
      <c r="I167" s="7" t="str">
        <f t="shared" si="46"/>
        <v>Yes</v>
      </c>
      <c r="J167" s="7">
        <f t="shared" si="47"/>
        <v>59</v>
      </c>
      <c r="K167" s="6">
        <f t="shared" si="48"/>
        <v>2560000</v>
      </c>
      <c r="L167" s="7">
        <f t="shared" si="49"/>
        <v>72</v>
      </c>
      <c r="M167" s="8">
        <f t="shared" si="50"/>
        <v>1.1000000000000001E-3</v>
      </c>
      <c r="N167" s="7" t="str">
        <f t="shared" si="51"/>
        <v>Positive</v>
      </c>
      <c r="O167" s="7" t="str">
        <f t="shared" si="52"/>
        <v>Low</v>
      </c>
    </row>
    <row r="168" spans="1:15" x14ac:dyDescent="0.3">
      <c r="A168" s="5" t="s">
        <v>1086</v>
      </c>
      <c r="B168" s="5" t="s">
        <v>1087</v>
      </c>
      <c r="C168" s="5" t="s">
        <v>1088</v>
      </c>
      <c r="D168" s="5" t="s">
        <v>38</v>
      </c>
      <c r="E168" s="5" t="s">
        <v>1089</v>
      </c>
      <c r="F168" s="5" t="s">
        <v>1090</v>
      </c>
      <c r="G168" s="5" t="s">
        <v>1091</v>
      </c>
      <c r="H168" s="6">
        <f t="shared" si="45"/>
        <v>287</v>
      </c>
      <c r="I168" s="7" t="str">
        <f t="shared" si="46"/>
        <v>Yes</v>
      </c>
      <c r="J168" s="7">
        <f t="shared" si="47"/>
        <v>82</v>
      </c>
      <c r="K168" s="6">
        <f t="shared" si="48"/>
        <v>2530000</v>
      </c>
      <c r="L168" s="7">
        <f t="shared" si="49"/>
        <v>73</v>
      </c>
      <c r="M168" s="8">
        <f t="shared" si="50"/>
        <v>4.0000000000000002E-4</v>
      </c>
      <c r="N168" s="7" t="str">
        <f t="shared" si="51"/>
        <v>Positive</v>
      </c>
      <c r="O168" s="7" t="str">
        <f t="shared" si="52"/>
        <v>Low</v>
      </c>
    </row>
    <row r="169" spans="1:15" x14ac:dyDescent="0.3">
      <c r="A169" s="5" t="s">
        <v>1092</v>
      </c>
      <c r="B169" s="5" t="s">
        <v>1093</v>
      </c>
      <c r="C169" s="5" t="s">
        <v>1094</v>
      </c>
      <c r="D169" s="5" t="s">
        <v>1095</v>
      </c>
      <c r="E169" s="5" t="s">
        <v>1089</v>
      </c>
      <c r="F169" s="5" t="s">
        <v>1096</v>
      </c>
      <c r="G169" s="5" t="s">
        <v>116</v>
      </c>
      <c r="H169" s="6">
        <f t="shared" si="45"/>
        <v>274603</v>
      </c>
      <c r="I169" s="7" t="str">
        <f t="shared" si="46"/>
        <v>Yes</v>
      </c>
      <c r="J169" s="7">
        <f t="shared" si="47"/>
        <v>52</v>
      </c>
      <c r="K169" s="6">
        <f t="shared" si="48"/>
        <v>2530000</v>
      </c>
      <c r="L169" s="7">
        <f t="shared" si="49"/>
        <v>73</v>
      </c>
      <c r="M169" s="8">
        <f t="shared" si="50"/>
        <v>5.8999999999999999E-3</v>
      </c>
      <c r="N169" s="7" t="str">
        <f t="shared" si="51"/>
        <v>Positive</v>
      </c>
      <c r="O169" s="7" t="str">
        <f t="shared" si="52"/>
        <v>Low</v>
      </c>
    </row>
    <row r="170" spans="1:15" x14ac:dyDescent="0.3">
      <c r="A170" s="5" t="s">
        <v>1097</v>
      </c>
      <c r="B170" s="5" t="s">
        <v>1098</v>
      </c>
      <c r="C170" s="5" t="s">
        <v>1099</v>
      </c>
      <c r="D170" s="5" t="s">
        <v>234</v>
      </c>
      <c r="E170" s="5" t="s">
        <v>1100</v>
      </c>
      <c r="F170" s="5" t="s">
        <v>1101</v>
      </c>
      <c r="G170" s="5" t="s">
        <v>1102</v>
      </c>
      <c r="H170" s="6">
        <f t="shared" si="45"/>
        <v>69191</v>
      </c>
      <c r="I170" s="7" t="str">
        <f t="shared" si="46"/>
        <v>Yes</v>
      </c>
      <c r="J170" s="7">
        <f t="shared" si="47"/>
        <v>70</v>
      </c>
      <c r="K170" s="6">
        <f t="shared" si="48"/>
        <v>2520000</v>
      </c>
      <c r="L170" s="7">
        <f t="shared" si="49"/>
        <v>75</v>
      </c>
      <c r="M170" s="8">
        <f t="shared" si="50"/>
        <v>3.2000000000000002E-3</v>
      </c>
      <c r="N170" s="7" t="str">
        <f t="shared" si="51"/>
        <v>Positive</v>
      </c>
      <c r="O170" s="7" t="str">
        <f t="shared" si="52"/>
        <v>Low</v>
      </c>
    </row>
    <row r="171" spans="1:15" x14ac:dyDescent="0.3">
      <c r="A171" s="5" t="s">
        <v>1103</v>
      </c>
      <c r="B171" s="5" t="s">
        <v>1103</v>
      </c>
      <c r="C171" s="5" t="s">
        <v>1104</v>
      </c>
      <c r="D171" s="5" t="s">
        <v>1105</v>
      </c>
      <c r="E171" s="5" t="s">
        <v>1100</v>
      </c>
      <c r="F171" s="5" t="s">
        <v>1106</v>
      </c>
      <c r="G171" s="5" t="s">
        <v>1107</v>
      </c>
      <c r="H171" s="6">
        <f t="shared" si="45"/>
        <v>34103</v>
      </c>
      <c r="I171" s="7" t="str">
        <f t="shared" si="46"/>
        <v>Yes</v>
      </c>
      <c r="J171" s="7">
        <f t="shared" si="47"/>
        <v>72</v>
      </c>
      <c r="K171" s="6">
        <f t="shared" si="48"/>
        <v>2520000</v>
      </c>
      <c r="L171" s="7">
        <f t="shared" si="49"/>
        <v>75</v>
      </c>
      <c r="M171" s="8">
        <f t="shared" si="50"/>
        <v>8.0000000000000002E-3</v>
      </c>
      <c r="N171" s="7" t="str">
        <f t="shared" si="51"/>
        <v>Positive</v>
      </c>
      <c r="O171" s="7" t="str">
        <f t="shared" si="52"/>
        <v>Low</v>
      </c>
    </row>
    <row r="172" spans="1:15" x14ac:dyDescent="0.3">
      <c r="A172" s="5" t="s">
        <v>1108</v>
      </c>
      <c r="B172" s="5" t="s">
        <v>1108</v>
      </c>
      <c r="C172" s="5" t="s">
        <v>1109</v>
      </c>
      <c r="D172" s="5" t="s">
        <v>1110</v>
      </c>
      <c r="E172" s="5" t="s">
        <v>1111</v>
      </c>
      <c r="F172" s="5" t="s">
        <v>1112</v>
      </c>
      <c r="G172" s="5" t="s">
        <v>1113</v>
      </c>
      <c r="H172" s="6">
        <f t="shared" si="45"/>
        <v>1983713</v>
      </c>
      <c r="I172" s="7" t="str">
        <f t="shared" si="46"/>
        <v>No</v>
      </c>
      <c r="J172" s="7" t="str">
        <f t="shared" si="47"/>
        <v/>
      </c>
      <c r="K172" s="6">
        <f t="shared" si="48"/>
        <v>2000000</v>
      </c>
      <c r="L172" s="7" t="str">
        <f t="shared" si="49"/>
        <v/>
      </c>
      <c r="M172" s="8">
        <f t="shared" si="50"/>
        <v>8.0999999999999996E-3</v>
      </c>
      <c r="N172" s="7" t="str">
        <f t="shared" si="51"/>
        <v>Positive</v>
      </c>
      <c r="O172" s="7" t="str">
        <f t="shared" si="52"/>
        <v>Low</v>
      </c>
    </row>
    <row r="173" spans="1:15" x14ac:dyDescent="0.3">
      <c r="A173" s="5" t="s">
        <v>1114</v>
      </c>
      <c r="B173" s="5" t="s">
        <v>1115</v>
      </c>
      <c r="C173" s="5" t="s">
        <v>1116</v>
      </c>
      <c r="D173" s="5" t="s">
        <v>618</v>
      </c>
      <c r="E173" s="5" t="s">
        <v>1111</v>
      </c>
      <c r="F173" s="5" t="s">
        <v>1117</v>
      </c>
      <c r="G173" s="5" t="s">
        <v>116</v>
      </c>
      <c r="H173" s="6">
        <f t="shared" si="45"/>
        <v>944920</v>
      </c>
      <c r="I173" s="7" t="str">
        <f t="shared" si="46"/>
        <v>No</v>
      </c>
      <c r="J173" s="7" t="str">
        <f t="shared" si="47"/>
        <v/>
      </c>
      <c r="K173" s="6">
        <f t="shared" si="48"/>
        <v>2000000</v>
      </c>
      <c r="L173" s="7" t="str">
        <f t="shared" si="49"/>
        <v/>
      </c>
      <c r="M173" s="8">
        <f t="shared" si="50"/>
        <v>1.5800000000000002E-2</v>
      </c>
      <c r="N173" s="7" t="str">
        <f t="shared" si="51"/>
        <v>Positive</v>
      </c>
      <c r="O173" s="7" t="str">
        <f t="shared" si="52"/>
        <v>Low</v>
      </c>
    </row>
    <row r="174" spans="1:15" x14ac:dyDescent="0.3">
      <c r="A174" s="5" t="s">
        <v>1118</v>
      </c>
      <c r="B174" s="5" t="s">
        <v>1119</v>
      </c>
      <c r="C174" s="5" t="s">
        <v>1120</v>
      </c>
      <c r="D174" s="5" t="s">
        <v>1031</v>
      </c>
      <c r="E174" s="5" t="s">
        <v>1121</v>
      </c>
      <c r="F174" s="5" t="s">
        <v>763</v>
      </c>
      <c r="G174" s="5" t="s">
        <v>1122</v>
      </c>
      <c r="H174" s="6">
        <f t="shared" si="45"/>
        <v>0</v>
      </c>
      <c r="I174" s="7" t="str">
        <f t="shared" si="46"/>
        <v>No</v>
      </c>
      <c r="J174" s="7" t="str">
        <f t="shared" si="47"/>
        <v/>
      </c>
      <c r="K174" s="6">
        <f t="shared" si="48"/>
        <v>1990000</v>
      </c>
      <c r="L174" s="7" t="str">
        <f t="shared" si="49"/>
        <v/>
      </c>
      <c r="M174" s="8">
        <f t="shared" si="50"/>
        <v>8.9999999999999998E-4</v>
      </c>
      <c r="N174" s="7" t="str">
        <f t="shared" si="51"/>
        <v>Positive</v>
      </c>
      <c r="O174" s="7" t="str">
        <f t="shared" si="52"/>
        <v>Low</v>
      </c>
    </row>
    <row r="175" spans="1:15" x14ac:dyDescent="0.3">
      <c r="A175" s="5" t="s">
        <v>1123</v>
      </c>
      <c r="B175" s="5" t="s">
        <v>1123</v>
      </c>
      <c r="C175" s="5" t="s">
        <v>1124</v>
      </c>
      <c r="D175" s="5" t="s">
        <v>1125</v>
      </c>
      <c r="E175" s="5" t="s">
        <v>1121</v>
      </c>
      <c r="F175" s="5" t="s">
        <v>1126</v>
      </c>
      <c r="G175" s="5" t="s">
        <v>1127</v>
      </c>
      <c r="H175" s="6">
        <f t="shared" si="45"/>
        <v>25840</v>
      </c>
      <c r="I175" s="7" t="str">
        <f t="shared" si="46"/>
        <v>No</v>
      </c>
      <c r="J175" s="7" t="str">
        <f t="shared" si="47"/>
        <v/>
      </c>
      <c r="K175" s="6">
        <f t="shared" si="48"/>
        <v>1990000</v>
      </c>
      <c r="L175" s="7" t="str">
        <f t="shared" si="49"/>
        <v/>
      </c>
      <c r="M175" s="8">
        <f t="shared" si="50"/>
        <v>1.5599999999999999E-2</v>
      </c>
      <c r="N175" s="7" t="str">
        <f t="shared" si="51"/>
        <v>Positive</v>
      </c>
      <c r="O175" s="7" t="str">
        <f t="shared" si="52"/>
        <v>Low</v>
      </c>
    </row>
    <row r="176" spans="1:15" x14ac:dyDescent="0.3">
      <c r="A176" s="5" t="s">
        <v>1128</v>
      </c>
      <c r="B176" s="5" t="s">
        <v>1129</v>
      </c>
      <c r="C176" s="5" t="s">
        <v>1130</v>
      </c>
      <c r="D176" s="5" t="s">
        <v>51</v>
      </c>
      <c r="E176" s="5" t="s">
        <v>1121</v>
      </c>
      <c r="F176" s="5" t="s">
        <v>1131</v>
      </c>
      <c r="G176" s="5" t="s">
        <v>1132</v>
      </c>
      <c r="H176" s="6">
        <f t="shared" si="45"/>
        <v>290910</v>
      </c>
      <c r="I176" s="7" t="str">
        <f t="shared" si="46"/>
        <v>No</v>
      </c>
      <c r="J176" s="7" t="str">
        <f t="shared" si="47"/>
        <v/>
      </c>
      <c r="K176" s="6">
        <f t="shared" si="48"/>
        <v>1990000</v>
      </c>
      <c r="L176" s="7" t="str">
        <f t="shared" si="49"/>
        <v/>
      </c>
      <c r="M176" s="8">
        <f t="shared" si="50"/>
        <v>1E-3</v>
      </c>
      <c r="N176" s="7" t="str">
        <f t="shared" si="51"/>
        <v>Positive</v>
      </c>
      <c r="O176" s="7" t="str">
        <f t="shared" si="52"/>
        <v>Low</v>
      </c>
    </row>
    <row r="177" spans="1:15" x14ac:dyDescent="0.3">
      <c r="A177" s="5" t="s">
        <v>1133</v>
      </c>
      <c r="B177" s="5" t="s">
        <v>1134</v>
      </c>
      <c r="C177" s="5" t="s">
        <v>1135</v>
      </c>
      <c r="D177" s="5" t="s">
        <v>1136</v>
      </c>
      <c r="E177" s="5" t="s">
        <v>1121</v>
      </c>
      <c r="F177" s="5" t="s">
        <v>1137</v>
      </c>
      <c r="G177" s="5" t="s">
        <v>1138</v>
      </c>
      <c r="H177" s="6">
        <f t="shared" si="45"/>
        <v>1872</v>
      </c>
      <c r="I177" s="7" t="str">
        <f t="shared" si="46"/>
        <v>No</v>
      </c>
      <c r="J177" s="7" t="str">
        <f t="shared" si="47"/>
        <v/>
      </c>
      <c r="K177" s="6">
        <f t="shared" si="48"/>
        <v>1990000</v>
      </c>
      <c r="L177" s="7" t="str">
        <f t="shared" si="49"/>
        <v/>
      </c>
      <c r="M177" s="8">
        <f t="shared" si="50"/>
        <v>1.21E-2</v>
      </c>
      <c r="N177" s="7" t="str">
        <f t="shared" si="51"/>
        <v>Positive</v>
      </c>
      <c r="O177" s="7" t="str">
        <f t="shared" si="52"/>
        <v>Low</v>
      </c>
    </row>
    <row r="178" spans="1:15" x14ac:dyDescent="0.3">
      <c r="A178" s="5" t="s">
        <v>1139</v>
      </c>
      <c r="B178" s="5" t="s">
        <v>1140</v>
      </c>
      <c r="C178" s="5" t="s">
        <v>1141</v>
      </c>
      <c r="D178" s="5" t="s">
        <v>64</v>
      </c>
      <c r="E178" s="5" t="s">
        <v>1142</v>
      </c>
      <c r="F178" s="5" t="s">
        <v>1143</v>
      </c>
      <c r="G178" s="5" t="s">
        <v>1144</v>
      </c>
      <c r="H178" s="6">
        <f t="shared" si="45"/>
        <v>117957</v>
      </c>
      <c r="I178" s="7" t="str">
        <f t="shared" si="46"/>
        <v>No</v>
      </c>
      <c r="J178" s="7" t="str">
        <f t="shared" si="47"/>
        <v/>
      </c>
      <c r="K178" s="6">
        <f t="shared" si="48"/>
        <v>1980000</v>
      </c>
      <c r="L178" s="7" t="str">
        <f t="shared" si="49"/>
        <v/>
      </c>
      <c r="M178" s="8">
        <f t="shared" si="50"/>
        <v>2.9999999999999997E-4</v>
      </c>
      <c r="N178" s="7" t="str">
        <f t="shared" si="51"/>
        <v>Positive</v>
      </c>
      <c r="O178" s="7" t="str">
        <f t="shared" si="52"/>
        <v>Low</v>
      </c>
    </row>
    <row r="179" spans="1:15" x14ac:dyDescent="0.3">
      <c r="A179" s="5" t="s">
        <v>1145</v>
      </c>
      <c r="B179" s="5" t="s">
        <v>1146</v>
      </c>
      <c r="C179" s="5" t="s">
        <v>1147</v>
      </c>
      <c r="D179" s="5" t="s">
        <v>1148</v>
      </c>
      <c r="E179" s="5" t="s">
        <v>1142</v>
      </c>
      <c r="F179" s="5" t="s">
        <v>1149</v>
      </c>
      <c r="G179" s="5" t="s">
        <v>1150</v>
      </c>
      <c r="H179" s="6">
        <f t="shared" si="45"/>
        <v>858809</v>
      </c>
      <c r="I179" s="7" t="str">
        <f t="shared" si="46"/>
        <v>Yes</v>
      </c>
      <c r="J179" s="7">
        <f t="shared" si="47"/>
        <v>42</v>
      </c>
      <c r="K179" s="6">
        <f t="shared" si="48"/>
        <v>1980000</v>
      </c>
      <c r="L179" s="7">
        <f t="shared" si="49"/>
        <v>77</v>
      </c>
      <c r="M179" s="8">
        <f t="shared" si="50"/>
        <v>1.2E-2</v>
      </c>
      <c r="N179" s="7" t="str">
        <f t="shared" si="51"/>
        <v>Positive</v>
      </c>
      <c r="O179" s="7" t="str">
        <f t="shared" si="52"/>
        <v>Low</v>
      </c>
    </row>
    <row r="180" spans="1:15" x14ac:dyDescent="0.3">
      <c r="A180" s="5" t="s">
        <v>1151</v>
      </c>
      <c r="B180" s="5" t="s">
        <v>1152</v>
      </c>
      <c r="C180" s="5" t="s">
        <v>1153</v>
      </c>
      <c r="D180" s="5" t="s">
        <v>1062</v>
      </c>
      <c r="E180" s="5" t="s">
        <v>1154</v>
      </c>
      <c r="F180" s="5" t="s">
        <v>1155</v>
      </c>
      <c r="G180" s="5" t="s">
        <v>1156</v>
      </c>
      <c r="H180" s="6">
        <f t="shared" si="45"/>
        <v>62197</v>
      </c>
      <c r="I180" s="7" t="str">
        <f t="shared" si="46"/>
        <v>No</v>
      </c>
      <c r="J180" s="7" t="str">
        <f t="shared" si="47"/>
        <v/>
      </c>
      <c r="K180" s="6">
        <f t="shared" si="48"/>
        <v>1970000</v>
      </c>
      <c r="L180" s="7" t="str">
        <f t="shared" si="49"/>
        <v/>
      </c>
      <c r="M180" s="8">
        <f t="shared" si="50"/>
        <v>9.7000000000000003E-3</v>
      </c>
      <c r="N180" s="7" t="str">
        <f t="shared" si="51"/>
        <v>Positive</v>
      </c>
      <c r="O180" s="7" t="str">
        <f t="shared" si="52"/>
        <v>Low</v>
      </c>
    </row>
    <row r="181" spans="1:15" x14ac:dyDescent="0.3">
      <c r="A181" s="5" t="s">
        <v>1157</v>
      </c>
      <c r="B181" s="5" t="s">
        <v>1158</v>
      </c>
      <c r="C181" s="5" t="s">
        <v>1159</v>
      </c>
      <c r="D181" s="5" t="s">
        <v>201</v>
      </c>
      <c r="E181" s="5" t="s">
        <v>1154</v>
      </c>
      <c r="F181" s="5" t="s">
        <v>1160</v>
      </c>
      <c r="G181" s="5" t="s">
        <v>1161</v>
      </c>
      <c r="H181" s="6">
        <f t="shared" si="45"/>
        <v>109870</v>
      </c>
      <c r="I181" s="7" t="str">
        <f t="shared" si="46"/>
        <v>No</v>
      </c>
      <c r="J181" s="7" t="str">
        <f t="shared" si="47"/>
        <v/>
      </c>
      <c r="K181" s="6">
        <f t="shared" si="48"/>
        <v>1970000</v>
      </c>
      <c r="L181" s="7" t="str">
        <f t="shared" si="49"/>
        <v/>
      </c>
      <c r="M181" s="8">
        <f t="shared" si="50"/>
        <v>0</v>
      </c>
      <c r="N181" s="7" t="str">
        <f t="shared" si="51"/>
        <v>Flat</v>
      </c>
      <c r="O181" s="7" t="str">
        <f t="shared" si="52"/>
        <v>Low</v>
      </c>
    </row>
    <row r="182" spans="1:15" x14ac:dyDescent="0.3">
      <c r="A182" s="5" t="s">
        <v>1162</v>
      </c>
      <c r="B182" s="5" t="s">
        <v>1163</v>
      </c>
      <c r="C182" s="5" t="s">
        <v>1164</v>
      </c>
      <c r="D182" s="5" t="s">
        <v>1165</v>
      </c>
      <c r="E182" s="5" t="s">
        <v>1166</v>
      </c>
      <c r="F182" s="5" t="s">
        <v>1167</v>
      </c>
      <c r="G182" s="5" t="s">
        <v>1168</v>
      </c>
      <c r="H182" s="6">
        <f t="shared" si="45"/>
        <v>106039</v>
      </c>
      <c r="I182" s="7" t="str">
        <f t="shared" si="46"/>
        <v>Yes</v>
      </c>
      <c r="J182" s="7">
        <f t="shared" si="47"/>
        <v>67</v>
      </c>
      <c r="K182" s="6">
        <f t="shared" si="48"/>
        <v>1600000</v>
      </c>
      <c r="L182" s="7">
        <f t="shared" si="49"/>
        <v>78</v>
      </c>
      <c r="M182" s="8">
        <f t="shared" si="50"/>
        <v>0.18790000000000001</v>
      </c>
      <c r="N182" s="7" t="str">
        <f t="shared" si="51"/>
        <v>Positive</v>
      </c>
      <c r="O182" s="7" t="str">
        <f t="shared" si="52"/>
        <v>Low</v>
      </c>
    </row>
    <row r="183" spans="1:15" x14ac:dyDescent="0.3">
      <c r="A183" s="5" t="s">
        <v>1169</v>
      </c>
      <c r="B183" s="5" t="s">
        <v>1170</v>
      </c>
      <c r="C183" s="5" t="s">
        <v>1171</v>
      </c>
      <c r="D183" s="5" t="s">
        <v>201</v>
      </c>
      <c r="E183" s="5" t="s">
        <v>1172</v>
      </c>
      <c r="F183" s="5" t="s">
        <v>1173</v>
      </c>
      <c r="G183" s="5" t="s">
        <v>1174</v>
      </c>
      <c r="H183" s="6">
        <f t="shared" si="45"/>
        <v>36</v>
      </c>
      <c r="I183" s="7" t="str">
        <f t="shared" si="46"/>
        <v>Yes</v>
      </c>
      <c r="J183" s="7">
        <f t="shared" si="47"/>
        <v>84</v>
      </c>
      <c r="K183" s="6">
        <f t="shared" si="48"/>
        <v>1590000</v>
      </c>
      <c r="L183" s="7">
        <f t="shared" si="49"/>
        <v>79</v>
      </c>
      <c r="M183" s="8">
        <f t="shared" si="50"/>
        <v>0</v>
      </c>
      <c r="N183" s="7" t="str">
        <f t="shared" si="51"/>
        <v>Flat</v>
      </c>
      <c r="O183" s="7" t="str">
        <f t="shared" si="52"/>
        <v>Low</v>
      </c>
    </row>
    <row r="184" spans="1:15" x14ac:dyDescent="0.3">
      <c r="A184" s="5" t="s">
        <v>1175</v>
      </c>
      <c r="B184" s="5" t="s">
        <v>1176</v>
      </c>
      <c r="C184" s="5" t="s">
        <v>1177</v>
      </c>
      <c r="D184" s="5" t="s">
        <v>1178</v>
      </c>
      <c r="E184" s="5" t="s">
        <v>1172</v>
      </c>
      <c r="F184" s="5" t="s">
        <v>1179</v>
      </c>
      <c r="G184" s="5" t="s">
        <v>1180</v>
      </c>
      <c r="H184" s="6">
        <f t="shared" si="45"/>
        <v>201257</v>
      </c>
      <c r="I184" s="7" t="str">
        <f t="shared" si="46"/>
        <v>No</v>
      </c>
      <c r="J184" s="7" t="str">
        <f t="shared" si="47"/>
        <v/>
      </c>
      <c r="K184" s="6">
        <f t="shared" si="48"/>
        <v>1590000</v>
      </c>
      <c r="L184" s="7" t="str">
        <f t="shared" si="49"/>
        <v/>
      </c>
      <c r="M184" s="8">
        <f t="shared" si="50"/>
        <v>2.8E-3</v>
      </c>
      <c r="N184" s="7" t="str">
        <f t="shared" si="51"/>
        <v>Positive</v>
      </c>
      <c r="O184" s="7" t="str">
        <f t="shared" si="52"/>
        <v>Low</v>
      </c>
    </row>
    <row r="185" spans="1:15" x14ac:dyDescent="0.3">
      <c r="A185" s="5" t="s">
        <v>1181</v>
      </c>
      <c r="B185" s="5" t="s">
        <v>1182</v>
      </c>
      <c r="C185" s="5" t="s">
        <v>1183</v>
      </c>
      <c r="D185" s="5" t="s">
        <v>990</v>
      </c>
      <c r="E185" s="5" t="s">
        <v>1172</v>
      </c>
      <c r="F185" s="5" t="s">
        <v>1184</v>
      </c>
      <c r="G185" s="5" t="s">
        <v>1185</v>
      </c>
      <c r="H185" s="6">
        <f t="shared" si="45"/>
        <v>1660204</v>
      </c>
      <c r="I185" s="7" t="str">
        <f t="shared" si="46"/>
        <v>Yes</v>
      </c>
      <c r="J185" s="7">
        <f t="shared" si="47"/>
        <v>31</v>
      </c>
      <c r="K185" s="6">
        <f t="shared" si="48"/>
        <v>1590000</v>
      </c>
      <c r="L185" s="7">
        <f t="shared" si="49"/>
        <v>79</v>
      </c>
      <c r="M185" s="8">
        <f t="shared" si="50"/>
        <v>6.7999999999999996E-3</v>
      </c>
      <c r="N185" s="7" t="str">
        <f t="shared" si="51"/>
        <v>Positive</v>
      </c>
      <c r="O185" s="7" t="str">
        <f t="shared" si="52"/>
        <v>Low</v>
      </c>
    </row>
    <row r="186" spans="1:15" x14ac:dyDescent="0.3">
      <c r="A186" s="5" t="s">
        <v>1186</v>
      </c>
      <c r="B186" s="5" t="s">
        <v>1186</v>
      </c>
      <c r="C186" s="5" t="s">
        <v>1187</v>
      </c>
      <c r="D186" s="5" t="s">
        <v>440</v>
      </c>
      <c r="E186" s="5" t="s">
        <v>1188</v>
      </c>
      <c r="F186" s="5" t="s">
        <v>1189</v>
      </c>
      <c r="G186" s="5" t="s">
        <v>1190</v>
      </c>
      <c r="H186" s="6">
        <f t="shared" si="45"/>
        <v>115234</v>
      </c>
      <c r="I186" s="7" t="str">
        <f t="shared" si="46"/>
        <v>Yes</v>
      </c>
      <c r="J186" s="7">
        <f t="shared" si="47"/>
        <v>66</v>
      </c>
      <c r="K186" s="6">
        <f t="shared" si="48"/>
        <v>1580000</v>
      </c>
      <c r="L186" s="7">
        <f t="shared" si="49"/>
        <v>81</v>
      </c>
      <c r="M186" s="8">
        <f t="shared" si="50"/>
        <v>3.0999999999999999E-3</v>
      </c>
      <c r="N186" s="7" t="str">
        <f t="shared" si="51"/>
        <v>Positive</v>
      </c>
      <c r="O186" s="7" t="str">
        <f t="shared" si="52"/>
        <v>Low</v>
      </c>
    </row>
    <row r="187" spans="1:15" x14ac:dyDescent="0.3">
      <c r="A187" s="5" t="s">
        <v>1191</v>
      </c>
      <c r="B187" s="5" t="s">
        <v>1192</v>
      </c>
      <c r="C187" s="5" t="s">
        <v>1193</v>
      </c>
      <c r="D187" s="5" t="s">
        <v>155</v>
      </c>
      <c r="E187" s="5" t="s">
        <v>1188</v>
      </c>
      <c r="F187" s="5" t="s">
        <v>1194</v>
      </c>
      <c r="G187" s="5" t="s">
        <v>863</v>
      </c>
      <c r="H187" s="6">
        <f t="shared" si="45"/>
        <v>119741</v>
      </c>
      <c r="I187" s="7" t="str">
        <f t="shared" si="46"/>
        <v>Yes</v>
      </c>
      <c r="J187" s="7">
        <f t="shared" si="47"/>
        <v>64</v>
      </c>
      <c r="K187" s="6">
        <f t="shared" si="48"/>
        <v>1580000</v>
      </c>
      <c r="L187" s="7">
        <f t="shared" si="49"/>
        <v>81</v>
      </c>
      <c r="M187" s="8">
        <f t="shared" si="50"/>
        <v>1E-4</v>
      </c>
      <c r="N187" s="7" t="str">
        <f t="shared" si="51"/>
        <v>Positive</v>
      </c>
      <c r="O187" s="7" t="str">
        <f t="shared" si="52"/>
        <v>Low</v>
      </c>
    </row>
    <row r="188" spans="1:15" x14ac:dyDescent="0.3">
      <c r="A188" s="5" t="s">
        <v>1195</v>
      </c>
      <c r="B188" s="5" t="s">
        <v>1196</v>
      </c>
      <c r="C188" s="5" t="s">
        <v>1197</v>
      </c>
      <c r="D188" s="5" t="s">
        <v>1198</v>
      </c>
      <c r="E188" s="5" t="s">
        <v>1188</v>
      </c>
      <c r="F188" s="5" t="s">
        <v>1199</v>
      </c>
      <c r="G188" s="5" t="s">
        <v>1200</v>
      </c>
      <c r="H188" s="6">
        <f t="shared" si="45"/>
        <v>43846</v>
      </c>
      <c r="I188" s="7" t="str">
        <f t="shared" si="46"/>
        <v>No</v>
      </c>
      <c r="J188" s="7" t="str">
        <f t="shared" si="47"/>
        <v/>
      </c>
      <c r="K188" s="6">
        <f t="shared" si="48"/>
        <v>1580000</v>
      </c>
      <c r="L188" s="7" t="str">
        <f t="shared" si="49"/>
        <v/>
      </c>
      <c r="M188" s="8">
        <f t="shared" si="50"/>
        <v>1.0999999999999999E-2</v>
      </c>
      <c r="N188" s="7" t="str">
        <f t="shared" si="51"/>
        <v>Positive</v>
      </c>
      <c r="O188" s="7" t="str">
        <f t="shared" si="52"/>
        <v>Low</v>
      </c>
    </row>
    <row r="189" spans="1:15" x14ac:dyDescent="0.3">
      <c r="A189" s="5" t="s">
        <v>1201</v>
      </c>
      <c r="B189" s="5" t="s">
        <v>1202</v>
      </c>
      <c r="C189" s="5" t="s">
        <v>1203</v>
      </c>
      <c r="D189" s="5" t="s">
        <v>201</v>
      </c>
      <c r="E189" s="5" t="s">
        <v>1204</v>
      </c>
      <c r="F189" s="5" t="s">
        <v>763</v>
      </c>
      <c r="G189" s="5" t="s">
        <v>1205</v>
      </c>
      <c r="H189" s="6">
        <f t="shared" si="45"/>
        <v>0</v>
      </c>
      <c r="I189" s="7" t="str">
        <f t="shared" si="46"/>
        <v>No</v>
      </c>
      <c r="J189" s="7" t="str">
        <f t="shared" si="47"/>
        <v/>
      </c>
      <c r="K189" s="6">
        <f t="shared" si="48"/>
        <v>1570000</v>
      </c>
      <c r="L189" s="7" t="str">
        <f t="shared" si="49"/>
        <v/>
      </c>
      <c r="M189" s="8">
        <f t="shared" si="50"/>
        <v>0</v>
      </c>
      <c r="N189" s="7" t="str">
        <f t="shared" si="51"/>
        <v>Flat</v>
      </c>
      <c r="O189" s="7" t="str">
        <f t="shared" si="52"/>
        <v>Low</v>
      </c>
    </row>
    <row r="190" spans="1:15" x14ac:dyDescent="0.3">
      <c r="A190" s="5" t="s">
        <v>1206</v>
      </c>
      <c r="B190" s="5" t="s">
        <v>1207</v>
      </c>
      <c r="C190" s="5" t="s">
        <v>1208</v>
      </c>
      <c r="D190" s="5" t="s">
        <v>201</v>
      </c>
      <c r="E190" s="5" t="s">
        <v>1204</v>
      </c>
      <c r="F190" s="5" t="s">
        <v>763</v>
      </c>
      <c r="G190" s="5" t="s">
        <v>1209</v>
      </c>
      <c r="H190" s="6">
        <f t="shared" si="45"/>
        <v>0</v>
      </c>
      <c r="I190" s="7" t="str">
        <f t="shared" si="46"/>
        <v>Yes</v>
      </c>
      <c r="J190" s="7">
        <f t="shared" si="47"/>
        <v>85</v>
      </c>
      <c r="K190" s="6">
        <f t="shared" si="48"/>
        <v>1570000</v>
      </c>
      <c r="L190" s="7">
        <f t="shared" si="49"/>
        <v>83</v>
      </c>
      <c r="M190" s="8">
        <f t="shared" si="50"/>
        <v>0</v>
      </c>
      <c r="N190" s="7" t="str">
        <f t="shared" si="51"/>
        <v>Flat</v>
      </c>
      <c r="O190" s="7" t="str">
        <f t="shared" si="52"/>
        <v>Low</v>
      </c>
    </row>
    <row r="191" spans="1:15" x14ac:dyDescent="0.3">
      <c r="A191" s="5" t="s">
        <v>1210</v>
      </c>
      <c r="B191" s="5" t="s">
        <v>1211</v>
      </c>
      <c r="C191" s="5" t="s">
        <v>1212</v>
      </c>
      <c r="D191" s="5" t="s">
        <v>905</v>
      </c>
      <c r="E191" s="5" t="s">
        <v>1204</v>
      </c>
      <c r="F191" s="5" t="s">
        <v>1213</v>
      </c>
      <c r="G191" s="5" t="s">
        <v>116</v>
      </c>
      <c r="H191" s="6">
        <f t="shared" si="45"/>
        <v>606685</v>
      </c>
      <c r="I191" s="7" t="str">
        <f t="shared" si="46"/>
        <v>No</v>
      </c>
      <c r="J191" s="7" t="str">
        <f t="shared" si="47"/>
        <v/>
      </c>
      <c r="K191" s="6">
        <f t="shared" si="48"/>
        <v>1570000</v>
      </c>
      <c r="L191" s="7" t="str">
        <f t="shared" si="49"/>
        <v/>
      </c>
      <c r="M191" s="8">
        <f t="shared" si="50"/>
        <v>2E-3</v>
      </c>
      <c r="N191" s="7" t="str">
        <f t="shared" si="51"/>
        <v>Positive</v>
      </c>
      <c r="O191" s="7" t="str">
        <f t="shared" si="52"/>
        <v>Low</v>
      </c>
    </row>
    <row r="192" spans="1:15" x14ac:dyDescent="0.3">
      <c r="A192" s="5" t="s">
        <v>1214</v>
      </c>
      <c r="B192" s="5" t="s">
        <v>1214</v>
      </c>
      <c r="C192" s="5" t="s">
        <v>1215</v>
      </c>
      <c r="D192" s="5" t="s">
        <v>749</v>
      </c>
      <c r="E192" s="5" t="s">
        <v>1216</v>
      </c>
      <c r="F192" s="5" t="s">
        <v>1217</v>
      </c>
      <c r="G192" s="5" t="s">
        <v>1218</v>
      </c>
      <c r="H192" s="6">
        <f t="shared" si="45"/>
        <v>86086</v>
      </c>
      <c r="I192" s="7" t="str">
        <f t="shared" si="46"/>
        <v>No</v>
      </c>
      <c r="J192" s="7" t="str">
        <f t="shared" si="47"/>
        <v/>
      </c>
      <c r="K192" s="6">
        <f t="shared" si="48"/>
        <v>1240000</v>
      </c>
      <c r="L192" s="7" t="str">
        <f t="shared" si="49"/>
        <v/>
      </c>
      <c r="M192" s="8">
        <f t="shared" si="50"/>
        <v>1.6000000000000001E-3</v>
      </c>
      <c r="N192" s="7" t="str">
        <f t="shared" si="51"/>
        <v>Positive</v>
      </c>
      <c r="O192" s="7" t="str">
        <f t="shared" si="52"/>
        <v>Low</v>
      </c>
    </row>
    <row r="193" spans="1:15" x14ac:dyDescent="0.3">
      <c r="A193" s="5" t="s">
        <v>1219</v>
      </c>
      <c r="B193" s="5" t="s">
        <v>1220</v>
      </c>
      <c r="C193" s="5" t="s">
        <v>1221</v>
      </c>
      <c r="D193" s="5" t="s">
        <v>905</v>
      </c>
      <c r="E193" s="5" t="s">
        <v>1216</v>
      </c>
      <c r="F193" s="5" t="s">
        <v>1222</v>
      </c>
      <c r="G193" s="5" t="s">
        <v>1223</v>
      </c>
      <c r="H193" s="6">
        <f t="shared" si="45"/>
        <v>11736</v>
      </c>
      <c r="I193" s="7" t="str">
        <f t="shared" si="46"/>
        <v>Yes</v>
      </c>
      <c r="J193" s="7">
        <f t="shared" si="47"/>
        <v>76</v>
      </c>
      <c r="K193" s="6">
        <f t="shared" si="48"/>
        <v>1240000</v>
      </c>
      <c r="L193" s="7">
        <f t="shared" si="49"/>
        <v>84</v>
      </c>
      <c r="M193" s="8">
        <f t="shared" si="50"/>
        <v>2E-3</v>
      </c>
      <c r="N193" s="7" t="str">
        <f t="shared" si="51"/>
        <v>Positive</v>
      </c>
      <c r="O193" s="7" t="str">
        <f t="shared" si="52"/>
        <v>Low</v>
      </c>
    </row>
    <row r="194" spans="1:15" x14ac:dyDescent="0.3">
      <c r="A194" s="5" t="s">
        <v>1224</v>
      </c>
      <c r="B194" s="5" t="s">
        <v>1225</v>
      </c>
      <c r="C194" s="5" t="s">
        <v>1226</v>
      </c>
      <c r="D194" s="5" t="s">
        <v>1227</v>
      </c>
      <c r="E194" s="5" t="s">
        <v>1216</v>
      </c>
      <c r="F194" s="5" t="s">
        <v>1228</v>
      </c>
      <c r="G194" s="5" t="s">
        <v>1229</v>
      </c>
      <c r="H194" s="6">
        <f t="shared" ref="H194:H201" si="53">IFERROR(VALUE(SUBSTITUTE(SUBSTITUTE(F194,"$",""),",","")),0)</f>
        <v>150756</v>
      </c>
      <c r="I194" s="7" t="str">
        <f t="shared" ref="I194:I201" si="54">IF(OR(UPPER(LEFT(A194,1))="A",UPPER(LEFT(A194,1))="E",UPPER(LEFT(A194,1))="I",UPPER(LEFT(A194,1))="O",UPPER(LEFT(A194,1))="U",UPPER(LEFT(A194,1))="B",UPPER(LEFT(A194,1))="C",UPPER(LEFT(A194,1))="D"),"Yes","No")</f>
        <v>No</v>
      </c>
      <c r="J194" s="7" t="str">
        <f t="shared" ref="J194:J225" si="55">IF(I194="Yes",SUMPRODUCT(($I$2:$I$201="Yes")*($H$2:$H$201&gt;H194))+1,"")</f>
        <v/>
      </c>
      <c r="K194" s="6">
        <f t="shared" ref="K194:K201" si="56">IFERROR(IF(RIGHT(E194,1)="T",VALUE(SUBSTITUTE(SUBSTITUTE(LEFT(E194,LEN(E194)-1),"$",""),",",""))*1000000000000,IF(RIGHT(E194,1)="B",VALUE(SUBSTITUTE(SUBSTITUTE(LEFT(E194,LEN(E194)-1),"$",""),",",""))*1000000000,IF(RIGHT(E194,1)="M",VALUE(SUBSTITUTE(SUBSTITUTE(LEFT(E194,LEN(E194)-1),"$",""),",",""))*1000000,VALUE(SUBSTITUTE(SUBSTITUTE(E194,"$",""),",",""))))),0)</f>
        <v>1240000</v>
      </c>
      <c r="L194" s="7" t="str">
        <f t="shared" ref="L194:L225" si="57">IF(I194="Yes",SUMPRODUCT(($I$2:$I$201="Yes")*($K$2:$K$201&gt;K194))+1,"")</f>
        <v/>
      </c>
      <c r="M194" s="8">
        <f t="shared" ref="M194:M201" si="58">IFERROR(VALUE(D194),0)</f>
        <v>4.3E-3</v>
      </c>
      <c r="N194" s="7" t="str">
        <f t="shared" ref="N194:N225" si="59">IF(M194&gt;0,"Positive",IF(M194&lt;0,"Negative","Flat"))</f>
        <v>Positive</v>
      </c>
      <c r="O194" s="7" t="str">
        <f t="shared" ref="O194:O201" si="60">IF(H194&gt;=1000000000,"High",IF(H194&gt;=10000000,"Medium","Low"))</f>
        <v>Low</v>
      </c>
    </row>
    <row r="195" spans="1:15" x14ac:dyDescent="0.3">
      <c r="A195" s="5" t="s">
        <v>1230</v>
      </c>
      <c r="B195" s="5" t="s">
        <v>1231</v>
      </c>
      <c r="C195" s="5" t="s">
        <v>1232</v>
      </c>
      <c r="D195" s="5" t="s">
        <v>1233</v>
      </c>
      <c r="E195" s="5" t="s">
        <v>1216</v>
      </c>
      <c r="F195" s="5" t="s">
        <v>1234</v>
      </c>
      <c r="G195" s="5" t="s">
        <v>1235</v>
      </c>
      <c r="H195" s="6">
        <f t="shared" si="53"/>
        <v>1332029</v>
      </c>
      <c r="I195" s="7" t="str">
        <f t="shared" si="54"/>
        <v>Yes</v>
      </c>
      <c r="J195" s="7">
        <f t="shared" si="55"/>
        <v>36</v>
      </c>
      <c r="K195" s="6">
        <f t="shared" si="56"/>
        <v>1240000</v>
      </c>
      <c r="L195" s="7">
        <f t="shared" si="57"/>
        <v>84</v>
      </c>
      <c r="M195" s="8">
        <f t="shared" si="58"/>
        <v>1.9E-3</v>
      </c>
      <c r="N195" s="7" t="str">
        <f t="shared" si="59"/>
        <v>Positive</v>
      </c>
      <c r="O195" s="7" t="str">
        <f t="shared" si="60"/>
        <v>Low</v>
      </c>
    </row>
    <row r="196" spans="1:15" x14ac:dyDescent="0.3">
      <c r="A196" s="5" t="s">
        <v>1236</v>
      </c>
      <c r="B196" s="5" t="s">
        <v>1237</v>
      </c>
      <c r="C196" s="5" t="s">
        <v>1238</v>
      </c>
      <c r="D196" s="5" t="s">
        <v>560</v>
      </c>
      <c r="E196" s="5" t="s">
        <v>1216</v>
      </c>
      <c r="F196" s="5" t="s">
        <v>1239</v>
      </c>
      <c r="G196" s="5" t="s">
        <v>1240</v>
      </c>
      <c r="H196" s="6">
        <f t="shared" si="53"/>
        <v>18</v>
      </c>
      <c r="I196" s="7" t="str">
        <f t="shared" si="54"/>
        <v>No</v>
      </c>
      <c r="J196" s="7" t="str">
        <f t="shared" si="55"/>
        <v/>
      </c>
      <c r="K196" s="6">
        <f t="shared" si="56"/>
        <v>1240000</v>
      </c>
      <c r="L196" s="7" t="str">
        <f t="shared" si="57"/>
        <v/>
      </c>
      <c r="M196" s="8">
        <f t="shared" si="58"/>
        <v>1.26E-2</v>
      </c>
      <c r="N196" s="7" t="str">
        <f t="shared" si="59"/>
        <v>Positive</v>
      </c>
      <c r="O196" s="7" t="str">
        <f t="shared" si="60"/>
        <v>Low</v>
      </c>
    </row>
    <row r="197" spans="1:15" x14ac:dyDescent="0.3">
      <c r="A197" s="5" t="s">
        <v>1241</v>
      </c>
      <c r="B197" s="5" t="s">
        <v>1242</v>
      </c>
      <c r="C197" s="5" t="s">
        <v>1243</v>
      </c>
      <c r="D197" s="5" t="s">
        <v>201</v>
      </c>
      <c r="E197" s="5" t="s">
        <v>1216</v>
      </c>
      <c r="F197" s="5" t="s">
        <v>1244</v>
      </c>
      <c r="G197" s="5" t="s">
        <v>1245</v>
      </c>
      <c r="H197" s="6">
        <f t="shared" si="53"/>
        <v>395470</v>
      </c>
      <c r="I197" s="7" t="str">
        <f t="shared" si="54"/>
        <v>Yes</v>
      </c>
      <c r="J197" s="7">
        <f t="shared" si="55"/>
        <v>49</v>
      </c>
      <c r="K197" s="6">
        <f t="shared" si="56"/>
        <v>1240000</v>
      </c>
      <c r="L197" s="7">
        <f t="shared" si="57"/>
        <v>84</v>
      </c>
      <c r="M197" s="8">
        <f t="shared" si="58"/>
        <v>0</v>
      </c>
      <c r="N197" s="7" t="str">
        <f t="shared" si="59"/>
        <v>Flat</v>
      </c>
      <c r="O197" s="7" t="str">
        <f t="shared" si="60"/>
        <v>Low</v>
      </c>
    </row>
    <row r="198" spans="1:15" x14ac:dyDescent="0.3">
      <c r="A198" s="5" t="s">
        <v>1246</v>
      </c>
      <c r="B198" s="5" t="s">
        <v>1247</v>
      </c>
      <c r="C198" s="5" t="s">
        <v>1248</v>
      </c>
      <c r="D198" s="5" t="s">
        <v>1249</v>
      </c>
      <c r="E198" s="5" t="s">
        <v>1250</v>
      </c>
      <c r="F198" s="5" t="s">
        <v>1251</v>
      </c>
      <c r="G198" s="5" t="s">
        <v>570</v>
      </c>
      <c r="H198" s="6">
        <f t="shared" si="53"/>
        <v>1609979</v>
      </c>
      <c r="I198" s="7" t="str">
        <f t="shared" si="54"/>
        <v>No</v>
      </c>
      <c r="J198" s="7" t="str">
        <f t="shared" si="55"/>
        <v/>
      </c>
      <c r="K198" s="6">
        <f t="shared" si="56"/>
        <v>1230000</v>
      </c>
      <c r="L198" s="7" t="str">
        <f t="shared" si="57"/>
        <v/>
      </c>
      <c r="M198" s="8">
        <f t="shared" si="58"/>
        <v>0.1177</v>
      </c>
      <c r="N198" s="7" t="str">
        <f t="shared" si="59"/>
        <v>Positive</v>
      </c>
      <c r="O198" s="7" t="str">
        <f t="shared" si="60"/>
        <v>Low</v>
      </c>
    </row>
    <row r="199" spans="1:15" x14ac:dyDescent="0.3">
      <c r="A199" s="5" t="s">
        <v>1252</v>
      </c>
      <c r="B199" s="5" t="s">
        <v>1253</v>
      </c>
      <c r="C199" s="5" t="s">
        <v>1254</v>
      </c>
      <c r="D199" s="5" t="s">
        <v>1255</v>
      </c>
      <c r="E199" s="5" t="s">
        <v>1256</v>
      </c>
      <c r="F199" s="5" t="s">
        <v>1257</v>
      </c>
      <c r="G199" s="5" t="s">
        <v>1258</v>
      </c>
      <c r="H199" s="6">
        <f t="shared" si="53"/>
        <v>32118</v>
      </c>
      <c r="I199" s="7" t="str">
        <f t="shared" si="54"/>
        <v>No</v>
      </c>
      <c r="J199" s="7" t="str">
        <f t="shared" si="55"/>
        <v/>
      </c>
      <c r="K199" s="6">
        <f t="shared" si="56"/>
        <v>1210000</v>
      </c>
      <c r="L199" s="7" t="str">
        <f t="shared" si="57"/>
        <v/>
      </c>
      <c r="M199" s="8">
        <f t="shared" si="58"/>
        <v>2.9399999999999999E-2</v>
      </c>
      <c r="N199" s="7" t="str">
        <f t="shared" si="59"/>
        <v>Positive</v>
      </c>
      <c r="O199" s="7" t="str">
        <f t="shared" si="60"/>
        <v>Low</v>
      </c>
    </row>
    <row r="200" spans="1:15" x14ac:dyDescent="0.3">
      <c r="A200" s="5" t="s">
        <v>1259</v>
      </c>
      <c r="B200" s="5" t="s">
        <v>1259</v>
      </c>
      <c r="C200" s="5" t="s">
        <v>1260</v>
      </c>
      <c r="D200" s="5" t="s">
        <v>1261</v>
      </c>
      <c r="E200" s="5" t="s">
        <v>1262</v>
      </c>
      <c r="F200" s="5" t="s">
        <v>1263</v>
      </c>
      <c r="G200" s="5" t="s">
        <v>116</v>
      </c>
      <c r="H200" s="6">
        <f t="shared" si="53"/>
        <v>2223596</v>
      </c>
      <c r="I200" s="7" t="str">
        <f t="shared" si="54"/>
        <v>No</v>
      </c>
      <c r="J200" s="7" t="str">
        <f t="shared" si="55"/>
        <v/>
      </c>
      <c r="K200" s="6">
        <f t="shared" si="56"/>
        <v>1220000</v>
      </c>
      <c r="L200" s="7" t="str">
        <f t="shared" si="57"/>
        <v/>
      </c>
      <c r="M200" s="8">
        <f t="shared" si="58"/>
        <v>7.9000000000000008E-3</v>
      </c>
      <c r="N200" s="7" t="str">
        <f t="shared" si="59"/>
        <v>Positive</v>
      </c>
      <c r="O200" s="7" t="str">
        <f t="shared" si="60"/>
        <v>Low</v>
      </c>
    </row>
    <row r="201" spans="1:15" x14ac:dyDescent="0.3">
      <c r="A201" s="5" t="s">
        <v>1264</v>
      </c>
      <c r="B201" s="5" t="s">
        <v>1265</v>
      </c>
      <c r="C201" s="5" t="s">
        <v>1266</v>
      </c>
      <c r="D201" s="5" t="s">
        <v>1267</v>
      </c>
      <c r="E201" s="5" t="s">
        <v>1262</v>
      </c>
      <c r="F201" s="5" t="s">
        <v>1268</v>
      </c>
      <c r="G201" s="5" t="s">
        <v>1269</v>
      </c>
      <c r="H201" s="6">
        <f t="shared" si="53"/>
        <v>1855</v>
      </c>
      <c r="I201" s="7" t="str">
        <f t="shared" si="54"/>
        <v>No</v>
      </c>
      <c r="J201" s="7" t="str">
        <f t="shared" si="55"/>
        <v/>
      </c>
      <c r="K201" s="6">
        <f t="shared" si="56"/>
        <v>1220000</v>
      </c>
      <c r="L201" s="7" t="str">
        <f t="shared" si="57"/>
        <v/>
      </c>
      <c r="M201" s="8">
        <f t="shared" si="58"/>
        <v>2.06E-2</v>
      </c>
      <c r="N201" s="7" t="str">
        <f t="shared" si="59"/>
        <v>Positive</v>
      </c>
      <c r="O201" s="7" t="str">
        <f t="shared" si="60"/>
        <v>Low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3"/>
  <sheetViews>
    <sheetView showGridLines="0" zoomScaleNormal="100" workbookViewId="0"/>
  </sheetViews>
  <sheetFormatPr defaultColWidth="8.6640625" defaultRowHeight="14.4" x14ac:dyDescent="0.3"/>
  <sheetData>
    <row r="2" spans="2:2" ht="21" x14ac:dyDescent="0.4">
      <c r="B2" s="1" t="s">
        <v>1270</v>
      </c>
    </row>
    <row r="3" spans="2:2" x14ac:dyDescent="0.3">
      <c r="B3" s="2" t="s">
        <v>1271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Ashutosh Kumar</cp:lastModifiedBy>
  <cp:revision>1</cp:revision>
  <dcterms:created xsi:type="dcterms:W3CDTF">2026-09-25T05:33:39Z</dcterms:created>
  <dcterms:modified xsi:type="dcterms:W3CDTF">2026-09-25T05:50:10Z</dcterms:modified>
  <dc:language>en-US</dc:language>
</cp:coreProperties>
</file>